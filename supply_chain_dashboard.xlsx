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w Data" sheetId="1" state="visible" r:id="rId3"/>
    <sheet name="Supplier Scorecard" sheetId="2" state="visible" r:id="rId4"/>
    <sheet name="Cost Breakdown" sheetId="3" state="visible" r:id="rId5"/>
  </sheets>
  <definedNames>
    <definedName function="false" hidden="true" localSheetId="0" name="_xlnm._FilterDatabase" vbProcedure="false">'Raw Data'!$A$1:$S$1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<sst xmlns="http://schemas.openxmlformats.org/spreadsheetml/2006/main" count="897" uniqueCount="201">
  <si>
    <t xml:space="preserve">SKU</t>
  </si>
  <si>
    <t xml:space="preserve">Product Type</t>
  </si>
  <si>
    <t xml:space="preserve">Price ($)</t>
  </si>
  <si>
    <t xml:space="preserve">Units Sold</t>
  </si>
  <si>
    <t xml:space="preserve">Revenue ($)</t>
  </si>
  <si>
    <t xml:space="preserve">Stock Levels</t>
  </si>
  <si>
    <t xml:space="preserve">Lead Time (days)</t>
  </si>
  <si>
    <t xml:space="preserve">Supplier</t>
  </si>
  <si>
    <t xml:space="preserve">Location</t>
  </si>
  <si>
    <t xml:space="preserve">Carrier</t>
  </si>
  <si>
    <t xml:space="preserve">Transport Mode</t>
  </si>
  <si>
    <t xml:space="preserve">Route</t>
  </si>
  <si>
    <t xml:space="preserve">Shipping Cost ($)</t>
  </si>
  <si>
    <t xml:space="preserve">Logistics Cost ($)</t>
  </si>
  <si>
    <t xml:space="preserve">Mfg Cost ($)</t>
  </si>
  <si>
    <t xml:space="preserve">Defect Rate (%)</t>
  </si>
  <si>
    <t xml:space="preserve">Inspection</t>
  </si>
  <si>
    <t xml:space="preserve">Gross Margin ($)</t>
  </si>
  <si>
    <t xml:space="preserve">Margin %</t>
  </si>
  <si>
    <t xml:space="preserve">SKU0</t>
  </si>
  <si>
    <t xml:space="preserve">haircare</t>
  </si>
  <si>
    <t xml:space="preserve">Supplier 3</t>
  </si>
  <si>
    <t xml:space="preserve">Mumbai</t>
  </si>
  <si>
    <t xml:space="preserve">Carrier B</t>
  </si>
  <si>
    <t xml:space="preserve">Road</t>
  </si>
  <si>
    <t xml:space="preserve">Route B</t>
  </si>
  <si>
    <t xml:space="preserve">Pending</t>
  </si>
  <si>
    <t xml:space="preserve">SKU1</t>
  </si>
  <si>
    <t xml:space="preserve">skincare</t>
  </si>
  <si>
    <t xml:space="preserve">Carrier A</t>
  </si>
  <si>
    <t xml:space="preserve">SKU2</t>
  </si>
  <si>
    <t xml:space="preserve">Supplier 1</t>
  </si>
  <si>
    <t xml:space="preserve">Air</t>
  </si>
  <si>
    <t xml:space="preserve">Route C</t>
  </si>
  <si>
    <t xml:space="preserve">SKU3</t>
  </si>
  <si>
    <t xml:space="preserve">Supplier 5</t>
  </si>
  <si>
    <t xml:space="preserve">Kolkata</t>
  </si>
  <si>
    <t xml:space="preserve">Carrier C</t>
  </si>
  <si>
    <t xml:space="preserve">Rail</t>
  </si>
  <si>
    <t xml:space="preserve">Route A</t>
  </si>
  <si>
    <t xml:space="preserve">Fail</t>
  </si>
  <si>
    <t xml:space="preserve">SKU4</t>
  </si>
  <si>
    <t xml:space="preserve">Delhi</t>
  </si>
  <si>
    <t xml:space="preserve">SKU5</t>
  </si>
  <si>
    <t xml:space="preserve">Supplier 4</t>
  </si>
  <si>
    <t xml:space="preserve">Bangalore</t>
  </si>
  <si>
    <t xml:space="preserve">SKU6</t>
  </si>
  <si>
    <t xml:space="preserve">Sea</t>
  </si>
  <si>
    <t xml:space="preserve">SKU7</t>
  </si>
  <si>
    <t xml:space="preserve">cosmetics</t>
  </si>
  <si>
    <t xml:space="preserve">SKU8</t>
  </si>
  <si>
    <t xml:space="preserve">SKU9</t>
  </si>
  <si>
    <t xml:space="preserve">Supplier 2</t>
  </si>
  <si>
    <t xml:space="preserve">Chennai</t>
  </si>
  <si>
    <t xml:space="preserve">SKU10</t>
  </si>
  <si>
    <t xml:space="preserve">Pass</t>
  </si>
  <si>
    <t xml:space="preserve">SKU11</t>
  </si>
  <si>
    <t xml:space="preserve">SKU12</t>
  </si>
  <si>
    <t xml:space="preserve">SKU13</t>
  </si>
  <si>
    <t xml:space="preserve">SKU14</t>
  </si>
  <si>
    <t xml:space="preserve">SKU15</t>
  </si>
  <si>
    <t xml:space="preserve">SKU16</t>
  </si>
  <si>
    <t xml:space="preserve">SKU17</t>
  </si>
  <si>
    <t xml:space="preserve">SKU18</t>
  </si>
  <si>
    <t xml:space="preserve">SKU19</t>
  </si>
  <si>
    <t xml:space="preserve">SKU20</t>
  </si>
  <si>
    <t xml:space="preserve">SKU21</t>
  </si>
  <si>
    <t xml:space="preserve">SKU22</t>
  </si>
  <si>
    <t xml:space="preserve">SKU23</t>
  </si>
  <si>
    <t xml:space="preserve">SKU24</t>
  </si>
  <si>
    <t xml:space="preserve">SKU25</t>
  </si>
  <si>
    <t xml:space="preserve">SKU26</t>
  </si>
  <si>
    <t xml:space="preserve">SKU27</t>
  </si>
  <si>
    <t xml:space="preserve">SKU28</t>
  </si>
  <si>
    <t xml:space="preserve">SKU29</t>
  </si>
  <si>
    <t xml:space="preserve">SKU30</t>
  </si>
  <si>
    <t xml:space="preserve">SKU31</t>
  </si>
  <si>
    <t xml:space="preserve">SKU32</t>
  </si>
  <si>
    <t xml:space="preserve">SKU33</t>
  </si>
  <si>
    <t xml:space="preserve">SKU34</t>
  </si>
  <si>
    <t xml:space="preserve">SKU35</t>
  </si>
  <si>
    <t xml:space="preserve">SKU36</t>
  </si>
  <si>
    <t xml:space="preserve">SKU37</t>
  </si>
  <si>
    <t xml:space="preserve">SKU38</t>
  </si>
  <si>
    <t xml:space="preserve">SKU39</t>
  </si>
  <si>
    <t xml:space="preserve">SKU40</t>
  </si>
  <si>
    <t xml:space="preserve">SKU41</t>
  </si>
  <si>
    <t xml:space="preserve">SKU42</t>
  </si>
  <si>
    <t xml:space="preserve">SKU43</t>
  </si>
  <si>
    <t xml:space="preserve">SKU44</t>
  </si>
  <si>
    <t xml:space="preserve">SKU45</t>
  </si>
  <si>
    <t xml:space="preserve">SKU46</t>
  </si>
  <si>
    <t xml:space="preserve">SKU47</t>
  </si>
  <si>
    <t xml:space="preserve">SKU48</t>
  </si>
  <si>
    <t xml:space="preserve">SKU49</t>
  </si>
  <si>
    <t xml:space="preserve">SKU50</t>
  </si>
  <si>
    <t xml:space="preserve">SKU51</t>
  </si>
  <si>
    <t xml:space="preserve">SKU52</t>
  </si>
  <si>
    <t xml:space="preserve">SKU53</t>
  </si>
  <si>
    <t xml:space="preserve">SKU54</t>
  </si>
  <si>
    <t xml:space="preserve">SKU55</t>
  </si>
  <si>
    <t xml:space="preserve">SKU56</t>
  </si>
  <si>
    <t xml:space="preserve">SKU57</t>
  </si>
  <si>
    <t xml:space="preserve">SKU58</t>
  </si>
  <si>
    <t xml:space="preserve">SKU59</t>
  </si>
  <si>
    <t xml:space="preserve">SKU60</t>
  </si>
  <si>
    <t xml:space="preserve">SKU61</t>
  </si>
  <si>
    <t xml:space="preserve">SKU62</t>
  </si>
  <si>
    <t xml:space="preserve">SKU63</t>
  </si>
  <si>
    <t xml:space="preserve">SKU64</t>
  </si>
  <si>
    <t xml:space="preserve">SKU65</t>
  </si>
  <si>
    <t xml:space="preserve">SKU66</t>
  </si>
  <si>
    <t xml:space="preserve">SKU67</t>
  </si>
  <si>
    <t xml:space="preserve">SKU68</t>
  </si>
  <si>
    <t xml:space="preserve">SKU69</t>
  </si>
  <si>
    <t xml:space="preserve">SKU70</t>
  </si>
  <si>
    <t xml:space="preserve">SKU71</t>
  </si>
  <si>
    <t xml:space="preserve">SKU72</t>
  </si>
  <si>
    <t xml:space="preserve">SKU73</t>
  </si>
  <si>
    <t xml:space="preserve">SKU74</t>
  </si>
  <si>
    <t xml:space="preserve">SKU75</t>
  </si>
  <si>
    <t xml:space="preserve">SKU76</t>
  </si>
  <si>
    <t xml:space="preserve">SKU77</t>
  </si>
  <si>
    <t xml:space="preserve">SKU78</t>
  </si>
  <si>
    <t xml:space="preserve">SKU79</t>
  </si>
  <si>
    <t xml:space="preserve">SKU80</t>
  </si>
  <si>
    <t xml:space="preserve">SKU81</t>
  </si>
  <si>
    <t xml:space="preserve">SKU82</t>
  </si>
  <si>
    <t xml:space="preserve">SKU83</t>
  </si>
  <si>
    <t xml:space="preserve">SKU84</t>
  </si>
  <si>
    <t xml:space="preserve">SKU85</t>
  </si>
  <si>
    <t xml:space="preserve">SKU86</t>
  </si>
  <si>
    <t xml:space="preserve">SKU87</t>
  </si>
  <si>
    <t xml:space="preserve">SKU88</t>
  </si>
  <si>
    <t xml:space="preserve">SKU89</t>
  </si>
  <si>
    <t xml:space="preserve">SKU90</t>
  </si>
  <si>
    <t xml:space="preserve">SKU91</t>
  </si>
  <si>
    <t xml:space="preserve">SKU92</t>
  </si>
  <si>
    <t xml:space="preserve">SKU93</t>
  </si>
  <si>
    <t xml:space="preserve">SKU94</t>
  </si>
  <si>
    <t xml:space="preserve">SKU95</t>
  </si>
  <si>
    <t xml:space="preserve">SKU96</t>
  </si>
  <si>
    <t xml:space="preserve">SKU97</t>
  </si>
  <si>
    <t xml:space="preserve">SKU98</t>
  </si>
  <si>
    <t xml:space="preserve">SKU99</t>
  </si>
  <si>
    <t xml:space="preserve">Supplier Performance Scorecard</t>
  </si>
  <si>
    <t xml:space="preserve">Rankings based on defect rate, lead time, inspection pass rate, and manufacturing cost</t>
  </si>
  <si>
    <t xml:space="preserve">SUPPLIER SUMMARY — Aggregated KPIs</t>
  </si>
  <si>
    <t xml:space="preserve"># SKUs</t>
  </si>
  <si>
    <t xml:space="preserve">Avg Defect Rate</t>
  </si>
  <si>
    <t xml:space="preserve">Avg Lead Time (days)</t>
  </si>
  <si>
    <t xml:space="preserve">Avg Mfg Cost ($)</t>
  </si>
  <si>
    <t xml:space="preserve">Pass Rate %</t>
  </si>
  <si>
    <t xml:space="preserve">Avg Shipping Cost ($)</t>
  </si>
  <si>
    <t xml:space="preserve">Performance Tier</t>
  </si>
  <si>
    <t xml:space="preserve">🔴 High Risk</t>
  </si>
  <si>
    <t xml:space="preserve">⚠️ Monitor</t>
  </si>
  <si>
    <t xml:space="preserve">✅ Strong</t>
  </si>
  <si>
    <t xml:space="preserve">KEY INSIGHTS</t>
  </si>
  <si>
    <t xml:space="preserve">⚠  Supplier 4 recorded a 0% pass rate across all 18 SKUs — the highest quality risk in the supply chain.</t>
  </si>
  <si>
    <t xml:space="preserve">✅  Supplier 1 achieved the highest pass rate (48%) with the lowest average defect rate — recommend prioritizing this supplier.</t>
  </si>
  <si>
    <t xml:space="preserve">🔴  Supplier 5 has the highest average defect rate overall. Consider audit or renegotiation.</t>
  </si>
  <si>
    <t xml:space="preserve">📋  36% of all SKUs failed inspection — a significant systemic quality issue requiring investigation.</t>
  </si>
  <si>
    <t xml:space="preserve">Supply Chain Cost Breakdown &amp; Margin Analysis</t>
  </si>
  <si>
    <t xml:space="preserve">Total cost = Manufacturing Cost + Shipping Cost + Logistics Cost  |  All values in USD</t>
  </si>
  <si>
    <t xml:space="preserve">SECTION A — Cost &amp; Margin by Product Category</t>
  </si>
  <si>
    <t xml:space="preserve">Product Category</t>
  </si>
  <si>
    <t xml:space="preserve">Avg Revenue ($)</t>
  </si>
  <si>
    <t xml:space="preserve">Avg Total Cost ($)</t>
  </si>
  <si>
    <t xml:space="preserve">Avg Gross Margin ($)</t>
  </si>
  <si>
    <t xml:space="preserve">Avg Margin %</t>
  </si>
  <si>
    <t xml:space="preserve">Total Revenue ($)</t>
  </si>
  <si>
    <t xml:space="preserve">Total Logistics Spend ($)</t>
  </si>
  <si>
    <t xml:space="preserve">Cosmetics</t>
  </si>
  <si>
    <t xml:space="preserve">Haircare</t>
  </si>
  <si>
    <t xml:space="preserve">Skincare</t>
  </si>
  <si>
    <t xml:space="preserve">TOTAL / AVERAGE</t>
  </si>
  <si>
    <t xml:space="preserve">SECTION B — Logistics Cost Efficiency by Transport Mode</t>
  </si>
  <si>
    <t xml:space="preserve"># Shipments</t>
  </si>
  <si>
    <t xml:space="preserve">Avg Logistics Cost ($)</t>
  </si>
  <si>
    <t xml:space="preserve">Total Cost ($)</t>
  </si>
  <si>
    <t xml:space="preserve">Cost as % of Revenue</t>
  </si>
  <si>
    <t xml:space="preserve">SECTION C — Executive KPI Summary</t>
  </si>
  <si>
    <t xml:space="preserve">Total Revenue</t>
  </si>
  <si>
    <t xml:space="preserve">$577,605</t>
  </si>
  <si>
    <t xml:space="preserve">Total Manufacturing Cost</t>
  </si>
  <si>
    <t xml:space="preserve">$4,727</t>
  </si>
  <si>
    <t xml:space="preserve">Total Shipping Cost</t>
  </si>
  <si>
    <t xml:space="preserve">$555</t>
  </si>
  <si>
    <t xml:space="preserve">Total Logistics Cost</t>
  </si>
  <si>
    <t xml:space="preserve">$52,925</t>
  </si>
  <si>
    <t xml:space="preserve">Total Supply Chain Cost</t>
  </si>
  <si>
    <t xml:space="preserve">$58,206</t>
  </si>
  <si>
    <t xml:space="preserve">Overall Gross Margin</t>
  </si>
  <si>
    <t xml:space="preserve">$519,399</t>
  </si>
  <si>
    <t xml:space="preserve">86.1%</t>
  </si>
  <si>
    <t xml:space="preserve">Logistics Cost % of Revenue</t>
  </si>
  <si>
    <t xml:space="preserve">9.2%</t>
  </si>
  <si>
    <t xml:space="preserve">2.28%</t>
  </si>
  <si>
    <t xml:space="preserve">SKUs with Failed Inspection</t>
  </si>
  <si>
    <t xml:space="preserve">36 of 100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</si>
</sst>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0.00%"/>
    <numFmt numFmtId="167" formatCode="0.0%"/>
    <numFmt numFmtId="168" formatCode="0"/>
    <numFmt numFmtId="169" formatCode="0.0"/>
    <numFmt numFmtId="170" formatCode="\$#,##0.00"/>
    <numFmt numFmtId="171" formatCode="\$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40404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375623"/>
      <name val="Arial"/>
      <family val="0"/>
      <charset val="1"/>
    </font>
    <font>
      <sz val="10"/>
      <color rgb="FF9C0006"/>
      <name val="Arial"/>
      <family val="0"/>
      <charset val="1"/>
    </font>
    <font>
      <sz val="10"/>
      <color rgb="FF9C5700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1F3864"/>
        <bgColor rgb="FF333399"/>
      </patternFill>
    </fill>
    <fill>
      <patternFill patternType="solid">
        <fgColor rgb="FFD6E4F0"/>
        <bgColor rgb="FFE2EFDA"/>
      </patternFill>
    </fill>
    <fill>
      <patternFill patternType="solid">
        <fgColor rgb="FFFFC7CE"/>
        <bgColor rgb="FFFFEB9C"/>
      </patternFill>
    </fill>
    <fill>
      <patternFill patternType="solid">
        <fgColor rgb="FFFFEB9C"/>
        <bgColor rgb="FFE2EFDA"/>
      </patternFill>
    </fill>
    <fill>
      <patternFill patternType="solid">
        <fgColor rgb="FFE2EFDA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4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1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C57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10" min="8" style="0" width="12"/>
    <col collapsed="false" customWidth="true" hidden="false" outlineLevel="0" max="11" min="11" style="0" width="15"/>
    <col collapsed="false" customWidth="true" hidden="false" outlineLevel="0" max="12" min="12" style="0" width="10"/>
    <col collapsed="false" customWidth="true" hidden="false" outlineLevel="0" max="13" min="13" style="0" width="16"/>
    <col collapsed="false" customWidth="true" hidden="false" outlineLevel="0" max="14" min="14" style="0" width="17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16"/>
    <col collapsed="false" customWidth="true" hidden="false" outlineLevel="0" max="19" min="19" style="0" width="10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s">
        <v>20</v>
      </c>
      <c r="C2" s="3" t="n">
        <v>69.8080055421158</v>
      </c>
      <c r="D2" s="4" t="n">
        <v>802</v>
      </c>
      <c r="E2" s="3" t="n">
        <v>8661.99679239238</v>
      </c>
      <c r="F2" s="4" t="n">
        <v>58</v>
      </c>
      <c r="G2" s="4" t="n">
        <v>29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3" t="n">
        <v>2.95657213943081</v>
      </c>
      <c r="N2" s="3" t="n">
        <v>187.752075459204</v>
      </c>
      <c r="O2" s="3" t="n">
        <v>46.2798792405083</v>
      </c>
      <c r="P2" s="5" t="n">
        <v>0.00226410360849925</v>
      </c>
      <c r="Q2" s="2" t="s">
        <v>26</v>
      </c>
      <c r="R2" s="3" t="n">
        <v>8425.00826555324</v>
      </c>
      <c r="S2" s="6" t="n">
        <v>0.972640427776736</v>
      </c>
    </row>
    <row r="3" customFormat="false" ht="15" hidden="false" customHeight="false" outlineLevel="0" collapsed="false">
      <c r="A3" s="7" t="s">
        <v>27</v>
      </c>
      <c r="B3" s="7" t="s">
        <v>28</v>
      </c>
      <c r="C3" s="8" t="n">
        <v>14.8435232750843</v>
      </c>
      <c r="D3" s="9" t="n">
        <v>736</v>
      </c>
      <c r="E3" s="8" t="n">
        <v>7460.90006544585</v>
      </c>
      <c r="F3" s="9" t="n">
        <v>53</v>
      </c>
      <c r="G3" s="9" t="n">
        <v>23</v>
      </c>
      <c r="H3" s="7" t="s">
        <v>21</v>
      </c>
      <c r="I3" s="7" t="s">
        <v>22</v>
      </c>
      <c r="J3" s="7" t="s">
        <v>29</v>
      </c>
      <c r="K3" s="7" t="s">
        <v>24</v>
      </c>
      <c r="L3" s="7" t="s">
        <v>25</v>
      </c>
      <c r="M3" s="8" t="n">
        <v>9.71657477143131</v>
      </c>
      <c r="N3" s="8" t="n">
        <v>503.065579149669</v>
      </c>
      <c r="O3" s="8" t="n">
        <v>33.61676895373</v>
      </c>
      <c r="P3" s="10" t="n">
        <v>0.0485406802638871</v>
      </c>
      <c r="Q3" s="7" t="s">
        <v>26</v>
      </c>
      <c r="R3" s="8" t="n">
        <v>6914.50114257102</v>
      </c>
      <c r="S3" s="11" t="n">
        <v>0.926765012521022</v>
      </c>
    </row>
    <row r="4" customFormat="false" ht="15" hidden="false" customHeight="false" outlineLevel="0" collapsed="false">
      <c r="A4" s="2" t="s">
        <v>30</v>
      </c>
      <c r="B4" s="2" t="s">
        <v>20</v>
      </c>
      <c r="C4" s="3" t="n">
        <v>11.3196832930906</v>
      </c>
      <c r="D4" s="4" t="n">
        <v>8</v>
      </c>
      <c r="E4" s="3" t="n">
        <v>9577.74962586873</v>
      </c>
      <c r="F4" s="4" t="n">
        <v>1</v>
      </c>
      <c r="G4" s="4" t="n">
        <v>12</v>
      </c>
      <c r="H4" s="2" t="s">
        <v>31</v>
      </c>
      <c r="I4" s="2" t="s">
        <v>22</v>
      </c>
      <c r="J4" s="2" t="s">
        <v>23</v>
      </c>
      <c r="K4" s="2" t="s">
        <v>32</v>
      </c>
      <c r="L4" s="2" t="s">
        <v>33</v>
      </c>
      <c r="M4" s="3" t="n">
        <v>8.05447926173216</v>
      </c>
      <c r="N4" s="3" t="n">
        <v>141.920281771519</v>
      </c>
      <c r="O4" s="3" t="n">
        <v>30.6880193482842</v>
      </c>
      <c r="P4" s="5" t="n">
        <v>0.0458059261919923</v>
      </c>
      <c r="Q4" s="2" t="s">
        <v>26</v>
      </c>
      <c r="R4" s="3" t="n">
        <v>9397.08684548719</v>
      </c>
      <c r="S4" s="6" t="n">
        <v>0.981137241268703</v>
      </c>
    </row>
    <row r="5" customFormat="false" ht="15" hidden="false" customHeight="false" outlineLevel="0" collapsed="false">
      <c r="A5" s="7" t="s">
        <v>34</v>
      </c>
      <c r="B5" s="7" t="s">
        <v>28</v>
      </c>
      <c r="C5" s="8" t="n">
        <v>61.1633430164377</v>
      </c>
      <c r="D5" s="9" t="n">
        <v>83</v>
      </c>
      <c r="E5" s="8" t="n">
        <v>7766.83642568523</v>
      </c>
      <c r="F5" s="9" t="n">
        <v>23</v>
      </c>
      <c r="G5" s="9" t="n">
        <v>24</v>
      </c>
      <c r="H5" s="7" t="s">
        <v>35</v>
      </c>
      <c r="I5" s="7" t="s">
        <v>36</v>
      </c>
      <c r="J5" s="7" t="s">
        <v>37</v>
      </c>
      <c r="K5" s="7" t="s">
        <v>38</v>
      </c>
      <c r="L5" s="7" t="s">
        <v>39</v>
      </c>
      <c r="M5" s="8" t="n">
        <v>1.72956856354343</v>
      </c>
      <c r="N5" s="8" t="n">
        <v>254.776159219287</v>
      </c>
      <c r="O5" s="8" t="n">
        <v>35.624741397125</v>
      </c>
      <c r="P5" s="10" t="n">
        <v>0.0474664862064775</v>
      </c>
      <c r="Q5" s="7" t="s">
        <v>40</v>
      </c>
      <c r="R5" s="8" t="n">
        <v>7474.70595650528</v>
      </c>
      <c r="S5" s="11" t="n">
        <v>0.962387456981343</v>
      </c>
    </row>
    <row r="6" customFormat="false" ht="15" hidden="false" customHeight="false" outlineLevel="0" collapsed="false">
      <c r="A6" s="2" t="s">
        <v>41</v>
      </c>
      <c r="B6" s="2" t="s">
        <v>28</v>
      </c>
      <c r="C6" s="3" t="n">
        <v>4.80549603634589</v>
      </c>
      <c r="D6" s="4" t="n">
        <v>871</v>
      </c>
      <c r="E6" s="3" t="n">
        <v>2686.50515156745</v>
      </c>
      <c r="F6" s="4" t="n">
        <v>5</v>
      </c>
      <c r="G6" s="4" t="n">
        <v>5</v>
      </c>
      <c r="H6" s="2" t="s">
        <v>31</v>
      </c>
      <c r="I6" s="2" t="s">
        <v>42</v>
      </c>
      <c r="J6" s="2" t="s">
        <v>29</v>
      </c>
      <c r="K6" s="2" t="s">
        <v>32</v>
      </c>
      <c r="L6" s="2" t="s">
        <v>39</v>
      </c>
      <c r="M6" s="3" t="n">
        <v>3.89054791587067</v>
      </c>
      <c r="N6" s="3" t="n">
        <v>923.440631711922</v>
      </c>
      <c r="O6" s="3" t="n">
        <v>92.0651605987128</v>
      </c>
      <c r="P6" s="5" t="n">
        <v>0.03145579522833</v>
      </c>
      <c r="Q6" s="2" t="s">
        <v>40</v>
      </c>
      <c r="R6" s="3" t="n">
        <v>1667.10881134094</v>
      </c>
      <c r="S6" s="6" t="n">
        <v>0.6205492702548</v>
      </c>
    </row>
    <row r="7" customFormat="false" ht="15" hidden="false" customHeight="false" outlineLevel="0" collapsed="false">
      <c r="A7" s="7" t="s">
        <v>43</v>
      </c>
      <c r="B7" s="7" t="s">
        <v>20</v>
      </c>
      <c r="C7" s="8" t="n">
        <v>1.69997601386594</v>
      </c>
      <c r="D7" s="9" t="n">
        <v>147</v>
      </c>
      <c r="E7" s="8" t="n">
        <v>2828.34874597576</v>
      </c>
      <c r="F7" s="9" t="n">
        <v>90</v>
      </c>
      <c r="G7" s="9" t="n">
        <v>10</v>
      </c>
      <c r="H7" s="7" t="s">
        <v>44</v>
      </c>
      <c r="I7" s="7" t="s">
        <v>45</v>
      </c>
      <c r="J7" s="7" t="s">
        <v>23</v>
      </c>
      <c r="K7" s="7" t="s">
        <v>24</v>
      </c>
      <c r="L7" s="7" t="s">
        <v>39</v>
      </c>
      <c r="M7" s="8" t="n">
        <v>4.44409886438229</v>
      </c>
      <c r="N7" s="8" t="n">
        <v>235.461236735538</v>
      </c>
      <c r="O7" s="8" t="n">
        <v>56.7664755574318</v>
      </c>
      <c r="P7" s="10" t="n">
        <v>0.0277919351157116</v>
      </c>
      <c r="Q7" s="7" t="s">
        <v>40</v>
      </c>
      <c r="R7" s="8" t="n">
        <v>2531.67693481841</v>
      </c>
      <c r="S7" s="11" t="n">
        <v>0.895107768594851</v>
      </c>
    </row>
    <row r="8" customFormat="false" ht="15" hidden="false" customHeight="false" outlineLevel="0" collapsed="false">
      <c r="A8" s="2" t="s">
        <v>46</v>
      </c>
      <c r="B8" s="2" t="s">
        <v>28</v>
      </c>
      <c r="C8" s="3" t="n">
        <v>4.07833286310795</v>
      </c>
      <c r="D8" s="4" t="n">
        <v>65</v>
      </c>
      <c r="E8" s="3" t="n">
        <v>7823.47655953174</v>
      </c>
      <c r="F8" s="4" t="n">
        <v>11</v>
      </c>
      <c r="G8" s="4" t="n">
        <v>14</v>
      </c>
      <c r="H8" s="2" t="s">
        <v>21</v>
      </c>
      <c r="I8" s="2" t="s">
        <v>36</v>
      </c>
      <c r="J8" s="2" t="s">
        <v>37</v>
      </c>
      <c r="K8" s="2" t="s">
        <v>47</v>
      </c>
      <c r="L8" s="2" t="s">
        <v>39</v>
      </c>
      <c r="M8" s="3" t="n">
        <v>3.880763302952</v>
      </c>
      <c r="N8" s="3" t="n">
        <v>134.369096861032</v>
      </c>
      <c r="O8" s="3" t="n">
        <v>1.08506856958707</v>
      </c>
      <c r="P8" s="5" t="n">
        <v>0.0100091061930414</v>
      </c>
      <c r="Q8" s="2" t="s">
        <v>26</v>
      </c>
      <c r="R8" s="3" t="n">
        <v>7684.14163079817</v>
      </c>
      <c r="S8" s="6" t="n">
        <v>0.982190151951844</v>
      </c>
    </row>
    <row r="9" customFormat="false" ht="15" hidden="false" customHeight="false" outlineLevel="0" collapsed="false">
      <c r="A9" s="7" t="s">
        <v>48</v>
      </c>
      <c r="B9" s="7" t="s">
        <v>49</v>
      </c>
      <c r="C9" s="8" t="n">
        <v>42.9583843824601</v>
      </c>
      <c r="D9" s="9" t="n">
        <v>426</v>
      </c>
      <c r="E9" s="8" t="n">
        <v>8496.10381308984</v>
      </c>
      <c r="F9" s="9" t="n">
        <v>93</v>
      </c>
      <c r="G9" s="9" t="n">
        <v>22</v>
      </c>
      <c r="H9" s="7" t="s">
        <v>44</v>
      </c>
      <c r="I9" s="7" t="s">
        <v>45</v>
      </c>
      <c r="J9" s="7" t="s">
        <v>23</v>
      </c>
      <c r="K9" s="7" t="s">
        <v>24</v>
      </c>
      <c r="L9" s="7" t="s">
        <v>33</v>
      </c>
      <c r="M9" s="8" t="n">
        <v>2.34833878441778</v>
      </c>
      <c r="N9" s="8" t="n">
        <v>802.056311817559</v>
      </c>
      <c r="O9" s="8" t="n">
        <v>99.4661086035991</v>
      </c>
      <c r="P9" s="10" t="n">
        <v>0.00398177186850651</v>
      </c>
      <c r="Q9" s="7" t="s">
        <v>40</v>
      </c>
      <c r="R9" s="8" t="n">
        <v>7592.23305388426</v>
      </c>
      <c r="S9" s="11" t="n">
        <v>0.893613498717731</v>
      </c>
    </row>
    <row r="10" customFormat="false" ht="15" hidden="false" customHeight="false" outlineLevel="0" collapsed="false">
      <c r="A10" s="2" t="s">
        <v>50</v>
      </c>
      <c r="B10" s="2" t="s">
        <v>49</v>
      </c>
      <c r="C10" s="3" t="n">
        <v>68.7175967485273</v>
      </c>
      <c r="D10" s="4" t="n">
        <v>150</v>
      </c>
      <c r="E10" s="3" t="n">
        <v>7517.36321063113</v>
      </c>
      <c r="F10" s="4" t="n">
        <v>5</v>
      </c>
      <c r="G10" s="4" t="n">
        <v>13</v>
      </c>
      <c r="H10" s="2" t="s">
        <v>44</v>
      </c>
      <c r="I10" s="2" t="s">
        <v>22</v>
      </c>
      <c r="J10" s="2" t="s">
        <v>37</v>
      </c>
      <c r="K10" s="2" t="s">
        <v>47</v>
      </c>
      <c r="L10" s="2" t="s">
        <v>25</v>
      </c>
      <c r="M10" s="3" t="n">
        <v>3.40473385708303</v>
      </c>
      <c r="N10" s="3" t="n">
        <v>505.557134225464</v>
      </c>
      <c r="O10" s="3" t="n">
        <v>11.4230271395657</v>
      </c>
      <c r="P10" s="5" t="n">
        <v>0.0270986269110996</v>
      </c>
      <c r="Q10" s="2" t="s">
        <v>26</v>
      </c>
      <c r="R10" s="3" t="n">
        <v>6996.97831540902</v>
      </c>
      <c r="S10" s="6" t="n">
        <v>0.930775608329503</v>
      </c>
    </row>
    <row r="11" customFormat="false" ht="15" hidden="false" customHeight="false" outlineLevel="0" collapsed="false">
      <c r="A11" s="7" t="s">
        <v>51</v>
      </c>
      <c r="B11" s="7" t="s">
        <v>28</v>
      </c>
      <c r="C11" s="8" t="n">
        <v>64.0157329412785</v>
      </c>
      <c r="D11" s="9" t="n">
        <v>980</v>
      </c>
      <c r="E11" s="8" t="n">
        <v>4971.14598758556</v>
      </c>
      <c r="F11" s="9" t="n">
        <v>14</v>
      </c>
      <c r="G11" s="9" t="n">
        <v>29</v>
      </c>
      <c r="H11" s="7" t="s">
        <v>52</v>
      </c>
      <c r="I11" s="7" t="s">
        <v>53</v>
      </c>
      <c r="J11" s="7" t="s">
        <v>29</v>
      </c>
      <c r="K11" s="7" t="s">
        <v>38</v>
      </c>
      <c r="L11" s="7" t="s">
        <v>25</v>
      </c>
      <c r="M11" s="8" t="n">
        <v>7.16664529104822</v>
      </c>
      <c r="N11" s="8" t="n">
        <v>995.929461498642</v>
      </c>
      <c r="O11" s="8" t="n">
        <v>47.9576016349516</v>
      </c>
      <c r="P11" s="10" t="n">
        <v>0.0384461447876759</v>
      </c>
      <c r="Q11" s="7" t="s">
        <v>26</v>
      </c>
      <c r="R11" s="8" t="n">
        <v>3920.09227916092</v>
      </c>
      <c r="S11" s="11" t="n">
        <v>0.788569132540175</v>
      </c>
    </row>
    <row r="12" customFormat="false" ht="15" hidden="false" customHeight="false" outlineLevel="0" collapsed="false">
      <c r="A12" s="2" t="s">
        <v>54</v>
      </c>
      <c r="B12" s="2" t="s">
        <v>28</v>
      </c>
      <c r="C12" s="3" t="n">
        <v>15.7077956819121</v>
      </c>
      <c r="D12" s="4" t="n">
        <v>996</v>
      </c>
      <c r="E12" s="3" t="n">
        <v>2330.96580209195</v>
      </c>
      <c r="F12" s="4" t="n">
        <v>51</v>
      </c>
      <c r="G12" s="4" t="n">
        <v>18</v>
      </c>
      <c r="H12" s="2" t="s">
        <v>35</v>
      </c>
      <c r="I12" s="2" t="s">
        <v>36</v>
      </c>
      <c r="J12" s="2" t="s">
        <v>37</v>
      </c>
      <c r="K12" s="2" t="s">
        <v>24</v>
      </c>
      <c r="L12" s="2" t="s">
        <v>25</v>
      </c>
      <c r="M12" s="3" t="n">
        <v>8.67321121127861</v>
      </c>
      <c r="N12" s="3" t="n">
        <v>806.103177702923</v>
      </c>
      <c r="O12" s="3" t="n">
        <v>96.5273527853109</v>
      </c>
      <c r="P12" s="5" t="n">
        <v>0.0172731392835594</v>
      </c>
      <c r="Q12" s="2" t="s">
        <v>55</v>
      </c>
      <c r="R12" s="3" t="n">
        <v>1419.66206039244</v>
      </c>
      <c r="S12" s="6" t="n">
        <v>0.609044568186434</v>
      </c>
    </row>
    <row r="13" customFormat="false" ht="15" hidden="false" customHeight="false" outlineLevel="0" collapsed="false">
      <c r="A13" s="7" t="s">
        <v>56</v>
      </c>
      <c r="B13" s="7" t="s">
        <v>28</v>
      </c>
      <c r="C13" s="8" t="n">
        <v>90.6354599822887</v>
      </c>
      <c r="D13" s="9" t="n">
        <v>960</v>
      </c>
      <c r="E13" s="8" t="n">
        <v>6099.94411558145</v>
      </c>
      <c r="F13" s="9" t="n">
        <v>46</v>
      </c>
      <c r="G13" s="9" t="n">
        <v>28</v>
      </c>
      <c r="H13" s="7" t="s">
        <v>52</v>
      </c>
      <c r="I13" s="7" t="s">
        <v>36</v>
      </c>
      <c r="J13" s="7" t="s">
        <v>29</v>
      </c>
      <c r="K13" s="7" t="s">
        <v>32</v>
      </c>
      <c r="L13" s="7" t="s">
        <v>39</v>
      </c>
      <c r="M13" s="8" t="n">
        <v>4.52394312431666</v>
      </c>
      <c r="N13" s="8" t="n">
        <v>126.723033409407</v>
      </c>
      <c r="O13" s="8" t="n">
        <v>27.5923630866637</v>
      </c>
      <c r="P13" s="10" t="n">
        <v>0.000211698213729943</v>
      </c>
      <c r="Q13" s="7" t="s">
        <v>26</v>
      </c>
      <c r="R13" s="8" t="n">
        <v>5941.10477596107</v>
      </c>
      <c r="S13" s="11" t="n">
        <v>0.973960525439134</v>
      </c>
    </row>
    <row r="14" customFormat="false" ht="15" hidden="false" customHeight="false" outlineLevel="0" collapsed="false">
      <c r="A14" s="2" t="s">
        <v>57</v>
      </c>
      <c r="B14" s="2" t="s">
        <v>20</v>
      </c>
      <c r="C14" s="3" t="n">
        <v>71.2133890753601</v>
      </c>
      <c r="D14" s="4" t="n">
        <v>336</v>
      </c>
      <c r="E14" s="3" t="n">
        <v>2873.74144602144</v>
      </c>
      <c r="F14" s="4" t="n">
        <v>100</v>
      </c>
      <c r="G14" s="4" t="n">
        <v>3</v>
      </c>
      <c r="H14" s="2" t="s">
        <v>44</v>
      </c>
      <c r="I14" s="2" t="s">
        <v>36</v>
      </c>
      <c r="J14" s="2" t="s">
        <v>29</v>
      </c>
      <c r="K14" s="2" t="s">
        <v>24</v>
      </c>
      <c r="L14" s="2" t="s">
        <v>25</v>
      </c>
      <c r="M14" s="3" t="n">
        <v>1.32527401018452</v>
      </c>
      <c r="N14" s="3" t="n">
        <v>402.968789073771</v>
      </c>
      <c r="O14" s="3" t="n">
        <v>32.321286213424</v>
      </c>
      <c r="P14" s="5" t="n">
        <v>0.0216125374755591</v>
      </c>
      <c r="Q14" s="2" t="s">
        <v>40</v>
      </c>
      <c r="R14" s="3" t="n">
        <v>2437.12609672406</v>
      </c>
      <c r="S14" s="6" t="n">
        <v>0.848067281800229</v>
      </c>
    </row>
    <row r="15" customFormat="false" ht="15" hidden="false" customHeight="false" outlineLevel="0" collapsed="false">
      <c r="A15" s="7" t="s">
        <v>58</v>
      </c>
      <c r="B15" s="7" t="s">
        <v>28</v>
      </c>
      <c r="C15" s="8" t="n">
        <v>16.16039331738</v>
      </c>
      <c r="D15" s="9" t="n">
        <v>249</v>
      </c>
      <c r="E15" s="8" t="n">
        <v>4052.73841623787</v>
      </c>
      <c r="F15" s="9" t="n">
        <v>80</v>
      </c>
      <c r="G15" s="9" t="n">
        <v>23</v>
      </c>
      <c r="H15" s="7" t="s">
        <v>35</v>
      </c>
      <c r="I15" s="7" t="s">
        <v>45</v>
      </c>
      <c r="J15" s="7" t="s">
        <v>29</v>
      </c>
      <c r="K15" s="7" t="s">
        <v>24</v>
      </c>
      <c r="L15" s="7" t="s">
        <v>25</v>
      </c>
      <c r="M15" s="8" t="n">
        <v>9.53728306110834</v>
      </c>
      <c r="N15" s="8" t="n">
        <v>547.241005160969</v>
      </c>
      <c r="O15" s="8" t="n">
        <v>97.8290501101733</v>
      </c>
      <c r="P15" s="10" t="n">
        <v>0.0163107423007154</v>
      </c>
      <c r="Q15" s="7" t="s">
        <v>26</v>
      </c>
      <c r="R15" s="8" t="n">
        <v>3398.13107790562</v>
      </c>
      <c r="S15" s="11" t="n">
        <v>0.838477772039401</v>
      </c>
    </row>
    <row r="16" customFormat="false" ht="15" hidden="false" customHeight="false" outlineLevel="0" collapsed="false">
      <c r="A16" s="2" t="s">
        <v>59</v>
      </c>
      <c r="B16" s="2" t="s">
        <v>28</v>
      </c>
      <c r="C16" s="3" t="n">
        <v>99.1713286386242</v>
      </c>
      <c r="D16" s="4" t="n">
        <v>562</v>
      </c>
      <c r="E16" s="3" t="n">
        <v>8653.5709264698</v>
      </c>
      <c r="F16" s="4" t="n">
        <v>54</v>
      </c>
      <c r="G16" s="4" t="n">
        <v>25</v>
      </c>
      <c r="H16" s="2" t="s">
        <v>31</v>
      </c>
      <c r="I16" s="2" t="s">
        <v>36</v>
      </c>
      <c r="J16" s="2" t="s">
        <v>23</v>
      </c>
      <c r="K16" s="2" t="s">
        <v>32</v>
      </c>
      <c r="L16" s="2" t="s">
        <v>25</v>
      </c>
      <c r="M16" s="3" t="n">
        <v>2.03977018944933</v>
      </c>
      <c r="N16" s="3" t="n">
        <v>929.23528996089</v>
      </c>
      <c r="O16" s="3" t="n">
        <v>5.79143662986299</v>
      </c>
      <c r="P16" s="5" t="n">
        <v>0.00100682851565094</v>
      </c>
      <c r="Q16" s="2" t="s">
        <v>26</v>
      </c>
      <c r="R16" s="3" t="n">
        <v>7716.5044296896</v>
      </c>
      <c r="S16" s="6" t="n">
        <v>0.891713316416709</v>
      </c>
    </row>
    <row r="17" customFormat="false" ht="15" hidden="false" customHeight="false" outlineLevel="0" collapsed="false">
      <c r="A17" s="7" t="s">
        <v>60</v>
      </c>
      <c r="B17" s="7" t="s">
        <v>28</v>
      </c>
      <c r="C17" s="8" t="n">
        <v>36.9892449286269</v>
      </c>
      <c r="D17" s="9" t="n">
        <v>469</v>
      </c>
      <c r="E17" s="8" t="n">
        <v>5442.08678539767</v>
      </c>
      <c r="F17" s="9" t="n">
        <v>9</v>
      </c>
      <c r="G17" s="9" t="n">
        <v>14</v>
      </c>
      <c r="H17" s="7" t="s">
        <v>31</v>
      </c>
      <c r="I17" s="7" t="s">
        <v>45</v>
      </c>
      <c r="J17" s="7" t="s">
        <v>23</v>
      </c>
      <c r="K17" s="7" t="s">
        <v>47</v>
      </c>
      <c r="L17" s="7" t="s">
        <v>25</v>
      </c>
      <c r="M17" s="8" t="n">
        <v>2.4220397232752</v>
      </c>
      <c r="N17" s="8" t="n">
        <v>127.861800001625</v>
      </c>
      <c r="O17" s="8" t="n">
        <v>97.1212817514743</v>
      </c>
      <c r="P17" s="10" t="n">
        <v>0.0226440576119855</v>
      </c>
      <c r="Q17" s="7" t="s">
        <v>55</v>
      </c>
      <c r="R17" s="8" t="n">
        <v>5214.6816639213</v>
      </c>
      <c r="S17" s="11" t="n">
        <v>0.958213617231068</v>
      </c>
    </row>
    <row r="18" customFormat="false" ht="15" hidden="false" customHeight="false" outlineLevel="0" collapsed="false">
      <c r="A18" s="2" t="s">
        <v>61</v>
      </c>
      <c r="B18" s="2" t="s">
        <v>28</v>
      </c>
      <c r="C18" s="3" t="n">
        <v>7.54717210979127</v>
      </c>
      <c r="D18" s="4" t="n">
        <v>280</v>
      </c>
      <c r="E18" s="3" t="n">
        <v>6453.79796817629</v>
      </c>
      <c r="F18" s="4" t="n">
        <v>2</v>
      </c>
      <c r="G18" s="4" t="n">
        <v>3</v>
      </c>
      <c r="H18" s="2" t="s">
        <v>31</v>
      </c>
      <c r="I18" s="2" t="s">
        <v>45</v>
      </c>
      <c r="J18" s="2" t="s">
        <v>23</v>
      </c>
      <c r="K18" s="2" t="s">
        <v>32</v>
      </c>
      <c r="L18" s="2" t="s">
        <v>39</v>
      </c>
      <c r="M18" s="3" t="n">
        <v>4.1913245857055</v>
      </c>
      <c r="N18" s="3" t="n">
        <v>865.52577977124</v>
      </c>
      <c r="O18" s="3" t="n">
        <v>77.10634249785</v>
      </c>
      <c r="P18" s="5" t="n">
        <v>0.0101256308925805</v>
      </c>
      <c r="Q18" s="2" t="s">
        <v>55</v>
      </c>
      <c r="R18" s="3" t="n">
        <v>5506.97452132149</v>
      </c>
      <c r="S18" s="6" t="n">
        <v>0.853292053528234</v>
      </c>
    </row>
    <row r="19" customFormat="false" ht="15" hidden="false" customHeight="false" outlineLevel="0" collapsed="false">
      <c r="A19" s="7" t="s">
        <v>62</v>
      </c>
      <c r="B19" s="7" t="s">
        <v>49</v>
      </c>
      <c r="C19" s="8" t="n">
        <v>81.462534369237</v>
      </c>
      <c r="D19" s="9" t="n">
        <v>126</v>
      </c>
      <c r="E19" s="8" t="n">
        <v>2629.39643484526</v>
      </c>
      <c r="F19" s="9" t="n">
        <v>45</v>
      </c>
      <c r="G19" s="9" t="n">
        <v>7</v>
      </c>
      <c r="H19" s="7" t="s">
        <v>31</v>
      </c>
      <c r="I19" s="7" t="s">
        <v>53</v>
      </c>
      <c r="J19" s="7" t="s">
        <v>37</v>
      </c>
      <c r="K19" s="7" t="s">
        <v>32</v>
      </c>
      <c r="L19" s="7" t="s">
        <v>33</v>
      </c>
      <c r="M19" s="8" t="n">
        <v>3.58541895823234</v>
      </c>
      <c r="N19" s="8" t="n">
        <v>670.93439079241</v>
      </c>
      <c r="O19" s="8" t="n">
        <v>47.6796803683553</v>
      </c>
      <c r="P19" s="10" t="n">
        <v>0.00102020754918176</v>
      </c>
      <c r="Q19" s="7" t="s">
        <v>40</v>
      </c>
      <c r="R19" s="8" t="n">
        <v>1907.19694472626</v>
      </c>
      <c r="S19" s="11" t="n">
        <v>0.72533640019121</v>
      </c>
    </row>
    <row r="20" customFormat="false" ht="15" hidden="false" customHeight="false" outlineLevel="0" collapsed="false">
      <c r="A20" s="2" t="s">
        <v>63</v>
      </c>
      <c r="B20" s="2" t="s">
        <v>20</v>
      </c>
      <c r="C20" s="3" t="n">
        <v>36.4436277704609</v>
      </c>
      <c r="D20" s="4" t="n">
        <v>620</v>
      </c>
      <c r="E20" s="3" t="n">
        <v>9364.67350507617</v>
      </c>
      <c r="F20" s="4" t="n">
        <v>10</v>
      </c>
      <c r="G20" s="4" t="n">
        <v>18</v>
      </c>
      <c r="H20" s="2" t="s">
        <v>52</v>
      </c>
      <c r="I20" s="2" t="s">
        <v>36</v>
      </c>
      <c r="J20" s="2" t="s">
        <v>37</v>
      </c>
      <c r="K20" s="2" t="s">
        <v>47</v>
      </c>
      <c r="L20" s="2" t="s">
        <v>39</v>
      </c>
      <c r="M20" s="3" t="n">
        <v>4.33922471411071</v>
      </c>
      <c r="N20" s="3" t="n">
        <v>593.480258720652</v>
      </c>
      <c r="O20" s="3" t="n">
        <v>27.1079808548439</v>
      </c>
      <c r="P20" s="5" t="n">
        <v>0.0223193911072926</v>
      </c>
      <c r="Q20" s="2" t="s">
        <v>26</v>
      </c>
      <c r="R20" s="3" t="n">
        <v>8739.74604078657</v>
      </c>
      <c r="S20" s="6" t="n">
        <v>0.933267565179837</v>
      </c>
    </row>
    <row r="21" customFormat="false" ht="15" hidden="false" customHeight="false" outlineLevel="0" collapsed="false">
      <c r="A21" s="7" t="s">
        <v>64</v>
      </c>
      <c r="B21" s="7" t="s">
        <v>28</v>
      </c>
      <c r="C21" s="8" t="n">
        <v>51.1238700879647</v>
      </c>
      <c r="D21" s="9" t="n">
        <v>187</v>
      </c>
      <c r="E21" s="8" t="n">
        <v>2553.49558499122</v>
      </c>
      <c r="F21" s="9" t="n">
        <v>48</v>
      </c>
      <c r="G21" s="9" t="n">
        <v>20</v>
      </c>
      <c r="H21" s="7" t="s">
        <v>44</v>
      </c>
      <c r="I21" s="7" t="s">
        <v>53</v>
      </c>
      <c r="J21" s="7" t="s">
        <v>29</v>
      </c>
      <c r="K21" s="7" t="s">
        <v>24</v>
      </c>
      <c r="L21" s="7" t="s">
        <v>33</v>
      </c>
      <c r="M21" s="8" t="n">
        <v>4.74263588284188</v>
      </c>
      <c r="N21" s="8" t="n">
        <v>477.307631090903</v>
      </c>
      <c r="O21" s="8" t="n">
        <v>82.3733205879902</v>
      </c>
      <c r="P21" s="10" t="n">
        <v>0.0364645086541703</v>
      </c>
      <c r="Q21" s="7" t="s">
        <v>40</v>
      </c>
      <c r="R21" s="8" t="n">
        <v>1989.07199742948</v>
      </c>
      <c r="S21" s="11" t="n">
        <v>0.778960421596469</v>
      </c>
    </row>
    <row r="22" customFormat="false" ht="15" hidden="false" customHeight="false" outlineLevel="0" collapsed="false">
      <c r="A22" s="2" t="s">
        <v>65</v>
      </c>
      <c r="B22" s="2" t="s">
        <v>28</v>
      </c>
      <c r="C22" s="3" t="n">
        <v>96.3410724399634</v>
      </c>
      <c r="D22" s="4" t="n">
        <v>320</v>
      </c>
      <c r="E22" s="3" t="n">
        <v>8128.02769685119</v>
      </c>
      <c r="F22" s="4" t="n">
        <v>27</v>
      </c>
      <c r="G22" s="4" t="n">
        <v>29</v>
      </c>
      <c r="H22" s="2" t="s">
        <v>31</v>
      </c>
      <c r="I22" s="2" t="s">
        <v>53</v>
      </c>
      <c r="J22" s="2" t="s">
        <v>29</v>
      </c>
      <c r="K22" s="2" t="s">
        <v>32</v>
      </c>
      <c r="L22" s="2" t="s">
        <v>25</v>
      </c>
      <c r="M22" s="3" t="n">
        <v>8.87833465092684</v>
      </c>
      <c r="N22" s="3" t="n">
        <v>493.871215316206</v>
      </c>
      <c r="O22" s="3" t="n">
        <v>65.6862596084886</v>
      </c>
      <c r="P22" s="5" t="n">
        <v>0.0423141657353454</v>
      </c>
      <c r="Q22" s="2" t="s">
        <v>55</v>
      </c>
      <c r="R22" s="3" t="n">
        <v>7559.59188727557</v>
      </c>
      <c r="S22" s="6" t="n">
        <v>0.930064730242512</v>
      </c>
    </row>
    <row r="23" customFormat="false" ht="15" hidden="false" customHeight="false" outlineLevel="0" collapsed="false">
      <c r="A23" s="7" t="s">
        <v>66</v>
      </c>
      <c r="B23" s="7" t="s">
        <v>49</v>
      </c>
      <c r="C23" s="8" t="n">
        <v>84.8938689849508</v>
      </c>
      <c r="D23" s="9" t="n">
        <v>601</v>
      </c>
      <c r="E23" s="8" t="n">
        <v>7087.05269635744</v>
      </c>
      <c r="F23" s="9" t="n">
        <v>69</v>
      </c>
      <c r="G23" s="9" t="n">
        <v>19</v>
      </c>
      <c r="H23" s="7" t="s">
        <v>35</v>
      </c>
      <c r="I23" s="7" t="s">
        <v>53</v>
      </c>
      <c r="J23" s="7" t="s">
        <v>23</v>
      </c>
      <c r="K23" s="7" t="s">
        <v>32</v>
      </c>
      <c r="L23" s="7" t="s">
        <v>33</v>
      </c>
      <c r="M23" s="8" t="n">
        <v>6.0378837692183</v>
      </c>
      <c r="N23" s="8" t="n">
        <v>523.360914720158</v>
      </c>
      <c r="O23" s="8" t="n">
        <v>61.7357289541609</v>
      </c>
      <c r="P23" s="10" t="n">
        <v>0.000186075676310149</v>
      </c>
      <c r="Q23" s="7" t="s">
        <v>26</v>
      </c>
      <c r="R23" s="8" t="n">
        <v>6495.9181689139</v>
      </c>
      <c r="S23" s="11" t="n">
        <v>0.916589511497866</v>
      </c>
    </row>
    <row r="24" customFormat="false" ht="15" hidden="false" customHeight="false" outlineLevel="0" collapsed="false">
      <c r="A24" s="2" t="s">
        <v>67</v>
      </c>
      <c r="B24" s="2" t="s">
        <v>20</v>
      </c>
      <c r="C24" s="3" t="n">
        <v>27.679780886502</v>
      </c>
      <c r="D24" s="4" t="n">
        <v>884</v>
      </c>
      <c r="E24" s="3" t="n">
        <v>2390.80786655617</v>
      </c>
      <c r="F24" s="4" t="n">
        <v>71</v>
      </c>
      <c r="G24" s="4" t="n">
        <v>22</v>
      </c>
      <c r="H24" s="2" t="s">
        <v>44</v>
      </c>
      <c r="I24" s="2" t="s">
        <v>36</v>
      </c>
      <c r="J24" s="2" t="s">
        <v>29</v>
      </c>
      <c r="K24" s="2" t="s">
        <v>38</v>
      </c>
      <c r="L24" s="2" t="s">
        <v>33</v>
      </c>
      <c r="M24" s="3" t="n">
        <v>9.56764892092304</v>
      </c>
      <c r="N24" s="3" t="n">
        <v>205.571995826947</v>
      </c>
      <c r="O24" s="3" t="n">
        <v>50.1208396129774</v>
      </c>
      <c r="P24" s="5" t="n">
        <v>0.0259127547321112</v>
      </c>
      <c r="Q24" s="2" t="s">
        <v>40</v>
      </c>
      <c r="R24" s="3" t="n">
        <v>2125.54738219533</v>
      </c>
      <c r="S24" s="6" t="n">
        <v>0.889049852950777</v>
      </c>
    </row>
    <row r="25" customFormat="false" ht="15" hidden="false" customHeight="false" outlineLevel="0" collapsed="false">
      <c r="A25" s="7" t="s">
        <v>68</v>
      </c>
      <c r="B25" s="7" t="s">
        <v>49</v>
      </c>
      <c r="C25" s="8" t="n">
        <v>4.32434118586416</v>
      </c>
      <c r="D25" s="9" t="n">
        <v>391</v>
      </c>
      <c r="E25" s="8" t="n">
        <v>8858.36757101148</v>
      </c>
      <c r="F25" s="9" t="n">
        <v>84</v>
      </c>
      <c r="G25" s="9" t="n">
        <v>11</v>
      </c>
      <c r="H25" s="7" t="s">
        <v>35</v>
      </c>
      <c r="I25" s="7" t="s">
        <v>36</v>
      </c>
      <c r="J25" s="7" t="s">
        <v>29</v>
      </c>
      <c r="K25" s="7" t="s">
        <v>38</v>
      </c>
      <c r="L25" s="7" t="s">
        <v>39</v>
      </c>
      <c r="M25" s="8" t="n">
        <v>2.92485760114555</v>
      </c>
      <c r="N25" s="8" t="n">
        <v>196.329446112413</v>
      </c>
      <c r="O25" s="8" t="n">
        <v>98.6099572427039</v>
      </c>
      <c r="P25" s="10" t="n">
        <v>0.0134229156272273</v>
      </c>
      <c r="Q25" s="7" t="s">
        <v>26</v>
      </c>
      <c r="R25" s="8" t="n">
        <v>8560.50331005522</v>
      </c>
      <c r="S25" s="11" t="n">
        <v>0.966374813579535</v>
      </c>
    </row>
    <row r="26" customFormat="false" ht="15" hidden="false" customHeight="false" outlineLevel="0" collapsed="false">
      <c r="A26" s="2" t="s">
        <v>69</v>
      </c>
      <c r="B26" s="2" t="s">
        <v>20</v>
      </c>
      <c r="C26" s="3" t="n">
        <v>4.15630835931111</v>
      </c>
      <c r="D26" s="4" t="n">
        <v>209</v>
      </c>
      <c r="E26" s="3" t="n">
        <v>9049.0778609399</v>
      </c>
      <c r="F26" s="4" t="n">
        <v>4</v>
      </c>
      <c r="G26" s="4" t="n">
        <v>28</v>
      </c>
      <c r="H26" s="2" t="s">
        <v>52</v>
      </c>
      <c r="I26" s="2" t="s">
        <v>45</v>
      </c>
      <c r="J26" s="2" t="s">
        <v>37</v>
      </c>
      <c r="K26" s="2" t="s">
        <v>32</v>
      </c>
      <c r="L26" s="2" t="s">
        <v>39</v>
      </c>
      <c r="M26" s="3" t="n">
        <v>9.74129168928437</v>
      </c>
      <c r="N26" s="3" t="n">
        <v>758.724772602938</v>
      </c>
      <c r="O26" s="3" t="n">
        <v>40.3823597029248</v>
      </c>
      <c r="P26" s="5" t="n">
        <v>0.0369131029262873</v>
      </c>
      <c r="Q26" s="2" t="s">
        <v>26</v>
      </c>
      <c r="R26" s="3" t="n">
        <v>8240.22943694475</v>
      </c>
      <c r="S26" s="6" t="n">
        <v>0.910615375795746</v>
      </c>
    </row>
    <row r="27" customFormat="false" ht="15" hidden="false" customHeight="false" outlineLevel="0" collapsed="false">
      <c r="A27" s="7" t="s">
        <v>70</v>
      </c>
      <c r="B27" s="7" t="s">
        <v>20</v>
      </c>
      <c r="C27" s="8" t="n">
        <v>39.6293439850926</v>
      </c>
      <c r="D27" s="9" t="n">
        <v>142</v>
      </c>
      <c r="E27" s="8" t="n">
        <v>2174.77705435065</v>
      </c>
      <c r="F27" s="9" t="n">
        <v>82</v>
      </c>
      <c r="G27" s="9" t="n">
        <v>19</v>
      </c>
      <c r="H27" s="7" t="s">
        <v>44</v>
      </c>
      <c r="I27" s="7" t="s">
        <v>36</v>
      </c>
      <c r="J27" s="7" t="s">
        <v>37</v>
      </c>
      <c r="K27" s="7" t="s">
        <v>24</v>
      </c>
      <c r="L27" s="7" t="s">
        <v>25</v>
      </c>
      <c r="M27" s="8" t="n">
        <v>2.23107368128173</v>
      </c>
      <c r="N27" s="8" t="n">
        <v>458.535945739209</v>
      </c>
      <c r="O27" s="8" t="n">
        <v>78.2803831184154</v>
      </c>
      <c r="P27" s="10" t="n">
        <v>0.0379723121711418</v>
      </c>
      <c r="Q27" s="7" t="s">
        <v>26</v>
      </c>
      <c r="R27" s="8" t="n">
        <v>1635.72965181175</v>
      </c>
      <c r="S27" s="11" t="n">
        <v>0.752136706858968</v>
      </c>
    </row>
    <row r="28" customFormat="false" ht="15" hidden="false" customHeight="false" outlineLevel="0" collapsed="false">
      <c r="A28" s="2" t="s">
        <v>71</v>
      </c>
      <c r="B28" s="2" t="s">
        <v>20</v>
      </c>
      <c r="C28" s="3" t="n">
        <v>97.4469466178928</v>
      </c>
      <c r="D28" s="4" t="n">
        <v>353</v>
      </c>
      <c r="E28" s="3" t="n">
        <v>3716.49332589404</v>
      </c>
      <c r="F28" s="4" t="n">
        <v>59</v>
      </c>
      <c r="G28" s="4" t="n">
        <v>26</v>
      </c>
      <c r="H28" s="2" t="s">
        <v>52</v>
      </c>
      <c r="I28" s="2" t="s">
        <v>45</v>
      </c>
      <c r="J28" s="2" t="s">
        <v>23</v>
      </c>
      <c r="K28" s="2" t="s">
        <v>38</v>
      </c>
      <c r="L28" s="2" t="s">
        <v>39</v>
      </c>
      <c r="M28" s="3" t="n">
        <v>6.50754862107855</v>
      </c>
      <c r="N28" s="3" t="n">
        <v>617.866916458377</v>
      </c>
      <c r="O28" s="3" t="n">
        <v>15.9722297571818</v>
      </c>
      <c r="P28" s="5" t="n">
        <v>0.0211931973672492</v>
      </c>
      <c r="Q28" s="2" t="s">
        <v>55</v>
      </c>
      <c r="R28" s="3" t="n">
        <v>3076.1466310574</v>
      </c>
      <c r="S28" s="6" t="n">
        <v>0.827701373664489</v>
      </c>
    </row>
    <row r="29" customFormat="false" ht="15" hidden="false" customHeight="false" outlineLevel="0" collapsed="false">
      <c r="A29" s="7" t="s">
        <v>72</v>
      </c>
      <c r="B29" s="7" t="s">
        <v>49</v>
      </c>
      <c r="C29" s="8" t="n">
        <v>92.557360812402</v>
      </c>
      <c r="D29" s="9" t="n">
        <v>352</v>
      </c>
      <c r="E29" s="8" t="n">
        <v>2686.45722357598</v>
      </c>
      <c r="F29" s="9" t="n">
        <v>47</v>
      </c>
      <c r="G29" s="9" t="n">
        <v>25</v>
      </c>
      <c r="H29" s="7" t="s">
        <v>35</v>
      </c>
      <c r="I29" s="7" t="s">
        <v>22</v>
      </c>
      <c r="J29" s="7" t="s">
        <v>37</v>
      </c>
      <c r="K29" s="7" t="s">
        <v>47</v>
      </c>
      <c r="L29" s="7" t="s">
        <v>25</v>
      </c>
      <c r="M29" s="8" t="n">
        <v>7.40675095299807</v>
      </c>
      <c r="N29" s="8" t="n">
        <v>762.459182155684</v>
      </c>
      <c r="O29" s="8" t="n">
        <v>10.5282450700422</v>
      </c>
      <c r="P29" s="10" t="n">
        <v>0.0286466783788337</v>
      </c>
      <c r="Q29" s="7" t="s">
        <v>40</v>
      </c>
      <c r="R29" s="8" t="n">
        <v>1906.06304539726</v>
      </c>
      <c r="S29" s="11" t="n">
        <v>0.709508057180256</v>
      </c>
    </row>
    <row r="30" customFormat="false" ht="15" hidden="false" customHeight="false" outlineLevel="0" collapsed="false">
      <c r="A30" s="2" t="s">
        <v>73</v>
      </c>
      <c r="B30" s="2" t="s">
        <v>49</v>
      </c>
      <c r="C30" s="3" t="n">
        <v>2.39727470559714</v>
      </c>
      <c r="D30" s="4" t="n">
        <v>394</v>
      </c>
      <c r="E30" s="3" t="n">
        <v>6117.32461508399</v>
      </c>
      <c r="F30" s="4" t="n">
        <v>48</v>
      </c>
      <c r="G30" s="4" t="n">
        <v>13</v>
      </c>
      <c r="H30" s="2" t="s">
        <v>31</v>
      </c>
      <c r="I30" s="2" t="s">
        <v>22</v>
      </c>
      <c r="J30" s="2" t="s">
        <v>23</v>
      </c>
      <c r="K30" s="2" t="s">
        <v>32</v>
      </c>
      <c r="L30" s="2" t="s">
        <v>39</v>
      </c>
      <c r="M30" s="3" t="n">
        <v>9.89814050806922</v>
      </c>
      <c r="N30" s="3" t="n">
        <v>123.437027511827</v>
      </c>
      <c r="O30" s="3" t="n">
        <v>59.4293818106916</v>
      </c>
      <c r="P30" s="5" t="n">
        <v>0.00815757079295672</v>
      </c>
      <c r="Q30" s="2" t="s">
        <v>40</v>
      </c>
      <c r="R30" s="3" t="n">
        <v>5924.5600652534</v>
      </c>
      <c r="S30" s="6" t="n">
        <v>0.968488749255635</v>
      </c>
    </row>
    <row r="31" customFormat="false" ht="15" hidden="false" customHeight="false" outlineLevel="0" collapsed="false">
      <c r="A31" s="7" t="s">
        <v>74</v>
      </c>
      <c r="B31" s="7" t="s">
        <v>49</v>
      </c>
      <c r="C31" s="8" t="n">
        <v>63.4475591852073</v>
      </c>
      <c r="D31" s="9" t="n">
        <v>253</v>
      </c>
      <c r="E31" s="8" t="n">
        <v>8318.90319461718</v>
      </c>
      <c r="F31" s="9" t="n">
        <v>45</v>
      </c>
      <c r="G31" s="9" t="n">
        <v>16</v>
      </c>
      <c r="H31" s="7" t="s">
        <v>31</v>
      </c>
      <c r="I31" s="7" t="s">
        <v>36</v>
      </c>
      <c r="J31" s="7" t="s">
        <v>23</v>
      </c>
      <c r="K31" s="7" t="s">
        <v>24</v>
      </c>
      <c r="L31" s="7" t="s">
        <v>25</v>
      </c>
      <c r="M31" s="8" t="n">
        <v>8.10097314539703</v>
      </c>
      <c r="N31" s="8" t="n">
        <v>764.935375940708</v>
      </c>
      <c r="O31" s="8" t="n">
        <v>39.2928755860658</v>
      </c>
      <c r="P31" s="10" t="n">
        <v>0.0387809893658849</v>
      </c>
      <c r="Q31" s="7" t="s">
        <v>55</v>
      </c>
      <c r="R31" s="8" t="n">
        <v>7506.57396994501</v>
      </c>
      <c r="S31" s="11" t="n">
        <v>0.902351403103501</v>
      </c>
    </row>
    <row r="32" customFormat="false" ht="15" hidden="false" customHeight="false" outlineLevel="0" collapsed="false">
      <c r="A32" s="2" t="s">
        <v>75</v>
      </c>
      <c r="B32" s="2" t="s">
        <v>20</v>
      </c>
      <c r="C32" s="3" t="n">
        <v>8.02285921052639</v>
      </c>
      <c r="D32" s="4" t="n">
        <v>327</v>
      </c>
      <c r="E32" s="3" t="n">
        <v>2766.34236686609</v>
      </c>
      <c r="F32" s="4" t="n">
        <v>60</v>
      </c>
      <c r="G32" s="4" t="n">
        <v>27</v>
      </c>
      <c r="H32" s="2" t="s">
        <v>44</v>
      </c>
      <c r="I32" s="2" t="s">
        <v>36</v>
      </c>
      <c r="J32" s="2" t="s">
        <v>23</v>
      </c>
      <c r="K32" s="2" t="s">
        <v>24</v>
      </c>
      <c r="L32" s="2" t="s">
        <v>33</v>
      </c>
      <c r="M32" s="3" t="n">
        <v>8.95452831531802</v>
      </c>
      <c r="N32" s="3" t="n">
        <v>880.080988247161</v>
      </c>
      <c r="O32" s="3" t="n">
        <v>51.6348934001093</v>
      </c>
      <c r="P32" s="5" t="n">
        <v>0.00965394705352393</v>
      </c>
      <c r="Q32" s="2" t="s">
        <v>26</v>
      </c>
      <c r="R32" s="3" t="n">
        <v>1825.6719569035</v>
      </c>
      <c r="S32" s="6" t="n">
        <v>0.659958788460357</v>
      </c>
    </row>
    <row r="33" customFormat="false" ht="15" hidden="false" customHeight="false" outlineLevel="0" collapsed="false">
      <c r="A33" s="7" t="s">
        <v>76</v>
      </c>
      <c r="B33" s="7" t="s">
        <v>28</v>
      </c>
      <c r="C33" s="8" t="n">
        <v>50.8473930517187</v>
      </c>
      <c r="D33" s="9" t="n">
        <v>168</v>
      </c>
      <c r="E33" s="8" t="n">
        <v>9655.1351027194</v>
      </c>
      <c r="F33" s="9" t="n">
        <v>6</v>
      </c>
      <c r="G33" s="9" t="n">
        <v>24</v>
      </c>
      <c r="H33" s="7" t="s">
        <v>21</v>
      </c>
      <c r="I33" s="7" t="s">
        <v>53</v>
      </c>
      <c r="J33" s="7" t="s">
        <v>23</v>
      </c>
      <c r="K33" s="7" t="s">
        <v>38</v>
      </c>
      <c r="L33" s="7" t="s">
        <v>33</v>
      </c>
      <c r="M33" s="8" t="n">
        <v>2.67966096498141</v>
      </c>
      <c r="N33" s="8" t="n">
        <v>609.379206618427</v>
      </c>
      <c r="O33" s="8" t="n">
        <v>60.2511456615981</v>
      </c>
      <c r="P33" s="10" t="n">
        <v>0.0298900000665508</v>
      </c>
      <c r="Q33" s="7" t="s">
        <v>26</v>
      </c>
      <c r="R33" s="8" t="n">
        <v>8982.82508947439</v>
      </c>
      <c r="S33" s="11" t="n">
        <v>0.93036762240068</v>
      </c>
    </row>
    <row r="34" customFormat="false" ht="15" hidden="false" customHeight="false" outlineLevel="0" collapsed="false">
      <c r="A34" s="2" t="s">
        <v>77</v>
      </c>
      <c r="B34" s="2" t="s">
        <v>28</v>
      </c>
      <c r="C34" s="3" t="n">
        <v>79.2099360156567</v>
      </c>
      <c r="D34" s="4" t="n">
        <v>781</v>
      </c>
      <c r="E34" s="3" t="n">
        <v>9571.55048732782</v>
      </c>
      <c r="F34" s="4" t="n">
        <v>89</v>
      </c>
      <c r="G34" s="4" t="n">
        <v>30</v>
      </c>
      <c r="H34" s="2" t="s">
        <v>21</v>
      </c>
      <c r="I34" s="2" t="s">
        <v>36</v>
      </c>
      <c r="J34" s="2" t="s">
        <v>37</v>
      </c>
      <c r="K34" s="2" t="s">
        <v>24</v>
      </c>
      <c r="L34" s="2" t="s">
        <v>39</v>
      </c>
      <c r="M34" s="3" t="n">
        <v>6.59910490123858</v>
      </c>
      <c r="N34" s="3" t="n">
        <v>761.173909514878</v>
      </c>
      <c r="O34" s="3" t="n">
        <v>29.6924671537498</v>
      </c>
      <c r="P34" s="5" t="n">
        <v>0.0194603611938611</v>
      </c>
      <c r="Q34" s="2" t="s">
        <v>55</v>
      </c>
      <c r="R34" s="3" t="n">
        <v>8774.08500575796</v>
      </c>
      <c r="S34" s="6" t="n">
        <v>0.916683772119714</v>
      </c>
    </row>
    <row r="35" customFormat="false" ht="15" hidden="false" customHeight="false" outlineLevel="0" collapsed="false">
      <c r="A35" s="7" t="s">
        <v>78</v>
      </c>
      <c r="B35" s="7" t="s">
        <v>49</v>
      </c>
      <c r="C35" s="8" t="n">
        <v>64.7954350001556</v>
      </c>
      <c r="D35" s="9" t="n">
        <v>616</v>
      </c>
      <c r="E35" s="8" t="n">
        <v>5149.99835040804</v>
      </c>
      <c r="F35" s="9" t="n">
        <v>4</v>
      </c>
      <c r="G35" s="9" t="n">
        <v>1</v>
      </c>
      <c r="H35" s="7" t="s">
        <v>35</v>
      </c>
      <c r="I35" s="7" t="s">
        <v>53</v>
      </c>
      <c r="J35" s="7" t="s">
        <v>37</v>
      </c>
      <c r="K35" s="7" t="s">
        <v>47</v>
      </c>
      <c r="L35" s="7" t="s">
        <v>39</v>
      </c>
      <c r="M35" s="8" t="n">
        <v>4.85827050343664</v>
      </c>
      <c r="N35" s="8" t="n">
        <v>371.255295519871</v>
      </c>
      <c r="O35" s="8" t="n">
        <v>23.8534275128961</v>
      </c>
      <c r="P35" s="10" t="n">
        <v>0.0354104601225092</v>
      </c>
      <c r="Q35" s="7" t="s">
        <v>40</v>
      </c>
      <c r="R35" s="8" t="n">
        <v>4750.03135687183</v>
      </c>
      <c r="S35" s="11" t="n">
        <v>0.922336481233142</v>
      </c>
    </row>
    <row r="36" customFormat="false" ht="15" hidden="false" customHeight="false" outlineLevel="0" collapsed="false">
      <c r="A36" s="2" t="s">
        <v>79</v>
      </c>
      <c r="B36" s="2" t="s">
        <v>28</v>
      </c>
      <c r="C36" s="3" t="n">
        <v>37.4675923298425</v>
      </c>
      <c r="D36" s="4" t="n">
        <v>602</v>
      </c>
      <c r="E36" s="3" t="n">
        <v>9061.71089550772</v>
      </c>
      <c r="F36" s="4" t="n">
        <v>1</v>
      </c>
      <c r="G36" s="4" t="n">
        <v>4</v>
      </c>
      <c r="H36" s="2" t="s">
        <v>31</v>
      </c>
      <c r="I36" s="2" t="s">
        <v>53</v>
      </c>
      <c r="J36" s="2" t="s">
        <v>29</v>
      </c>
      <c r="K36" s="2" t="s">
        <v>24</v>
      </c>
      <c r="L36" s="2" t="s">
        <v>25</v>
      </c>
      <c r="M36" s="3" t="n">
        <v>1.01948757082212</v>
      </c>
      <c r="N36" s="3" t="n">
        <v>510.358000433524</v>
      </c>
      <c r="O36" s="3" t="n">
        <v>10.7542728150293</v>
      </c>
      <c r="P36" s="5" t="n">
        <v>0.00646604559372055</v>
      </c>
      <c r="Q36" s="2" t="s">
        <v>55</v>
      </c>
      <c r="R36" s="3" t="n">
        <v>8539.57913468835</v>
      </c>
      <c r="S36" s="6" t="n">
        <v>0.942380443732958</v>
      </c>
    </row>
    <row r="37" customFormat="false" ht="15" hidden="false" customHeight="false" outlineLevel="0" collapsed="false">
      <c r="A37" s="7" t="s">
        <v>80</v>
      </c>
      <c r="B37" s="7" t="s">
        <v>49</v>
      </c>
      <c r="C37" s="8" t="n">
        <v>84.9577868163504</v>
      </c>
      <c r="D37" s="9" t="n">
        <v>449</v>
      </c>
      <c r="E37" s="8" t="n">
        <v>6541.32934480247</v>
      </c>
      <c r="F37" s="9" t="n">
        <v>42</v>
      </c>
      <c r="G37" s="9" t="n">
        <v>3</v>
      </c>
      <c r="H37" s="7" t="s">
        <v>31</v>
      </c>
      <c r="I37" s="7" t="s">
        <v>42</v>
      </c>
      <c r="J37" s="7" t="s">
        <v>37</v>
      </c>
      <c r="K37" s="7" t="s">
        <v>47</v>
      </c>
      <c r="L37" s="7" t="s">
        <v>33</v>
      </c>
      <c r="M37" s="8" t="n">
        <v>5.28818999032741</v>
      </c>
      <c r="N37" s="8" t="n">
        <v>553.420471230356</v>
      </c>
      <c r="O37" s="8" t="n">
        <v>58.0047870447438</v>
      </c>
      <c r="P37" s="10" t="n">
        <v>0.00541154098060581</v>
      </c>
      <c r="Q37" s="7" t="s">
        <v>55</v>
      </c>
      <c r="R37" s="8" t="n">
        <v>5924.61589653704</v>
      </c>
      <c r="S37" s="11" t="n">
        <v>0.905720471213478</v>
      </c>
    </row>
    <row r="38" customFormat="false" ht="15" hidden="false" customHeight="false" outlineLevel="0" collapsed="false">
      <c r="A38" s="2" t="s">
        <v>81</v>
      </c>
      <c r="B38" s="2" t="s">
        <v>28</v>
      </c>
      <c r="C38" s="3" t="n">
        <v>9.81300257875405</v>
      </c>
      <c r="D38" s="4" t="n">
        <v>963</v>
      </c>
      <c r="E38" s="3" t="n">
        <v>7573.40245784873</v>
      </c>
      <c r="F38" s="4" t="n">
        <v>18</v>
      </c>
      <c r="G38" s="4" t="n">
        <v>26</v>
      </c>
      <c r="H38" s="2" t="s">
        <v>52</v>
      </c>
      <c r="I38" s="2" t="s">
        <v>42</v>
      </c>
      <c r="J38" s="2" t="s">
        <v>23</v>
      </c>
      <c r="K38" s="2" t="s">
        <v>32</v>
      </c>
      <c r="L38" s="2" t="s">
        <v>33</v>
      </c>
      <c r="M38" s="3" t="n">
        <v>2.10795126715908</v>
      </c>
      <c r="N38" s="3" t="n">
        <v>403.808974248181</v>
      </c>
      <c r="O38" s="3" t="n">
        <v>45.5313642371621</v>
      </c>
      <c r="P38" s="5" t="n">
        <v>0.0380553337924335</v>
      </c>
      <c r="Q38" s="2" t="s">
        <v>40</v>
      </c>
      <c r="R38" s="3" t="n">
        <v>7121.95416809623</v>
      </c>
      <c r="S38" s="6" t="n">
        <v>0.940390294551871</v>
      </c>
    </row>
    <row r="39" customFormat="false" ht="15" hidden="false" customHeight="false" outlineLevel="0" collapsed="false">
      <c r="A39" s="7" t="s">
        <v>82</v>
      </c>
      <c r="B39" s="7" t="s">
        <v>28</v>
      </c>
      <c r="C39" s="8" t="n">
        <v>23.3998447526144</v>
      </c>
      <c r="D39" s="9" t="n">
        <v>963</v>
      </c>
      <c r="E39" s="8" t="n">
        <v>2438.33993047003</v>
      </c>
      <c r="F39" s="9" t="n">
        <v>25</v>
      </c>
      <c r="G39" s="9" t="n">
        <v>24</v>
      </c>
      <c r="H39" s="7" t="s">
        <v>21</v>
      </c>
      <c r="I39" s="7" t="s">
        <v>36</v>
      </c>
      <c r="J39" s="7" t="s">
        <v>29</v>
      </c>
      <c r="K39" s="7" t="s">
        <v>47</v>
      </c>
      <c r="L39" s="7" t="s">
        <v>39</v>
      </c>
      <c r="M39" s="8" t="n">
        <v>1.53265527359043</v>
      </c>
      <c r="N39" s="8" t="n">
        <v>183.932968043594</v>
      </c>
      <c r="O39" s="8" t="n">
        <v>34.3432774650754</v>
      </c>
      <c r="P39" s="10" t="n">
        <v>0.0261028808484811</v>
      </c>
      <c r="Q39" s="7" t="s">
        <v>26</v>
      </c>
      <c r="R39" s="8" t="n">
        <v>2218.53102968777</v>
      </c>
      <c r="S39" s="11" t="n">
        <v>0.909853052876065</v>
      </c>
    </row>
    <row r="40" customFormat="false" ht="15" hidden="false" customHeight="false" outlineLevel="0" collapsed="false">
      <c r="A40" s="2" t="s">
        <v>83</v>
      </c>
      <c r="B40" s="2" t="s">
        <v>49</v>
      </c>
      <c r="C40" s="3" t="n">
        <v>52.0759306827078</v>
      </c>
      <c r="D40" s="4" t="n">
        <v>705</v>
      </c>
      <c r="E40" s="3" t="n">
        <v>9692.31804021843</v>
      </c>
      <c r="F40" s="4" t="n">
        <v>69</v>
      </c>
      <c r="G40" s="4" t="n">
        <v>10</v>
      </c>
      <c r="H40" s="2" t="s">
        <v>35</v>
      </c>
      <c r="I40" s="2" t="s">
        <v>22</v>
      </c>
      <c r="J40" s="2" t="s">
        <v>23</v>
      </c>
      <c r="K40" s="2" t="s">
        <v>32</v>
      </c>
      <c r="L40" s="2" t="s">
        <v>25</v>
      </c>
      <c r="M40" s="3" t="n">
        <v>9.23593143724923</v>
      </c>
      <c r="N40" s="3" t="n">
        <v>339.672869948606</v>
      </c>
      <c r="O40" s="3" t="n">
        <v>5.93069364552832</v>
      </c>
      <c r="P40" s="5" t="n">
        <v>0.00613326899164507</v>
      </c>
      <c r="Q40" s="2" t="s">
        <v>26</v>
      </c>
      <c r="R40" s="3" t="n">
        <v>9337.47854518705</v>
      </c>
      <c r="S40" s="6" t="n">
        <v>0.96338961499623</v>
      </c>
    </row>
    <row r="41" customFormat="false" ht="15" hidden="false" customHeight="false" outlineLevel="0" collapsed="false">
      <c r="A41" s="7" t="s">
        <v>84</v>
      </c>
      <c r="B41" s="7" t="s">
        <v>28</v>
      </c>
      <c r="C41" s="8" t="n">
        <v>19.1274772658233</v>
      </c>
      <c r="D41" s="9" t="n">
        <v>176</v>
      </c>
      <c r="E41" s="8" t="n">
        <v>1912.46566310076</v>
      </c>
      <c r="F41" s="9" t="n">
        <v>78</v>
      </c>
      <c r="G41" s="9" t="n">
        <v>30</v>
      </c>
      <c r="H41" s="7" t="s">
        <v>52</v>
      </c>
      <c r="I41" s="7" t="s">
        <v>36</v>
      </c>
      <c r="J41" s="7" t="s">
        <v>29</v>
      </c>
      <c r="K41" s="7" t="s">
        <v>32</v>
      </c>
      <c r="L41" s="7" t="s">
        <v>25</v>
      </c>
      <c r="M41" s="8" t="n">
        <v>5.56250377883038</v>
      </c>
      <c r="N41" s="8" t="n">
        <v>653.672994552033</v>
      </c>
      <c r="O41" s="8" t="n">
        <v>9.00580742878164</v>
      </c>
      <c r="P41" s="10" t="n">
        <v>0.0145197220399682</v>
      </c>
      <c r="Q41" s="7" t="s">
        <v>40</v>
      </c>
      <c r="R41" s="8" t="n">
        <v>1244.22435734112</v>
      </c>
      <c r="S41" s="11" t="n">
        <v>0.650586507955287</v>
      </c>
    </row>
    <row r="42" customFormat="false" ht="15" hidden="false" customHeight="false" outlineLevel="0" collapsed="false">
      <c r="A42" s="2" t="s">
        <v>85</v>
      </c>
      <c r="B42" s="2" t="s">
        <v>28</v>
      </c>
      <c r="C42" s="3" t="n">
        <v>80.5414241709403</v>
      </c>
      <c r="D42" s="4" t="n">
        <v>933</v>
      </c>
      <c r="E42" s="3" t="n">
        <v>5724.95935045627</v>
      </c>
      <c r="F42" s="4" t="n">
        <v>90</v>
      </c>
      <c r="G42" s="4" t="n">
        <v>18</v>
      </c>
      <c r="H42" s="2" t="s">
        <v>31</v>
      </c>
      <c r="I42" s="2" t="s">
        <v>36</v>
      </c>
      <c r="J42" s="2" t="s">
        <v>37</v>
      </c>
      <c r="K42" s="2" t="s">
        <v>24</v>
      </c>
      <c r="L42" s="2" t="s">
        <v>39</v>
      </c>
      <c r="M42" s="3" t="n">
        <v>7.22959513973647</v>
      </c>
      <c r="N42" s="3" t="n">
        <v>529.808723980692</v>
      </c>
      <c r="O42" s="3" t="n">
        <v>88.1794071042175</v>
      </c>
      <c r="P42" s="5" t="n">
        <v>0.0421326943058657</v>
      </c>
      <c r="Q42" s="2" t="s">
        <v>26</v>
      </c>
      <c r="R42" s="3" t="n">
        <v>5099.74162423162</v>
      </c>
      <c r="S42" s="6" t="n">
        <v>0.890790888117866</v>
      </c>
    </row>
    <row r="43" customFormat="false" ht="15" hidden="false" customHeight="false" outlineLevel="0" collapsed="false">
      <c r="A43" s="7" t="s">
        <v>86</v>
      </c>
      <c r="B43" s="7" t="s">
        <v>28</v>
      </c>
      <c r="C43" s="8" t="n">
        <v>99.1132916153172</v>
      </c>
      <c r="D43" s="9" t="n">
        <v>556</v>
      </c>
      <c r="E43" s="8" t="n">
        <v>5521.20525901097</v>
      </c>
      <c r="F43" s="9" t="n">
        <v>64</v>
      </c>
      <c r="G43" s="9" t="n">
        <v>18</v>
      </c>
      <c r="H43" s="7" t="s">
        <v>44</v>
      </c>
      <c r="I43" s="7" t="s">
        <v>53</v>
      </c>
      <c r="J43" s="7" t="s">
        <v>23</v>
      </c>
      <c r="K43" s="7" t="s">
        <v>47</v>
      </c>
      <c r="L43" s="7" t="s">
        <v>39</v>
      </c>
      <c r="M43" s="8" t="n">
        <v>5.77326374376665</v>
      </c>
      <c r="N43" s="8" t="n">
        <v>275.52437113131</v>
      </c>
      <c r="O43" s="8" t="n">
        <v>95.3320645487725</v>
      </c>
      <c r="P43" s="10" t="n">
        <v>0.000453022623982596</v>
      </c>
      <c r="Q43" s="7" t="s">
        <v>40</v>
      </c>
      <c r="R43" s="8" t="n">
        <v>5144.57555958712</v>
      </c>
      <c r="S43" s="11" t="n">
        <v>0.931784876353009</v>
      </c>
    </row>
    <row r="44" customFormat="false" ht="15" hidden="false" customHeight="false" outlineLevel="0" collapsed="false">
      <c r="A44" s="2" t="s">
        <v>87</v>
      </c>
      <c r="B44" s="2" t="s">
        <v>28</v>
      </c>
      <c r="C44" s="3" t="n">
        <v>46.5291676145168</v>
      </c>
      <c r="D44" s="4" t="n">
        <v>155</v>
      </c>
      <c r="E44" s="3" t="n">
        <v>1839.60942585676</v>
      </c>
      <c r="F44" s="4" t="n">
        <v>22</v>
      </c>
      <c r="G44" s="4" t="n">
        <v>26</v>
      </c>
      <c r="H44" s="2" t="s">
        <v>35</v>
      </c>
      <c r="I44" s="2" t="s">
        <v>45</v>
      </c>
      <c r="J44" s="2" t="s">
        <v>37</v>
      </c>
      <c r="K44" s="2" t="s">
        <v>24</v>
      </c>
      <c r="L44" s="2" t="s">
        <v>39</v>
      </c>
      <c r="M44" s="3" t="n">
        <v>7.52624832685151</v>
      </c>
      <c r="N44" s="3" t="n">
        <v>635.657120501992</v>
      </c>
      <c r="O44" s="3" t="n">
        <v>96.4228206395719</v>
      </c>
      <c r="P44" s="5" t="n">
        <v>0.0493925528862095</v>
      </c>
      <c r="Q44" s="2" t="s">
        <v>40</v>
      </c>
      <c r="R44" s="3" t="n">
        <v>1100.00323638835</v>
      </c>
      <c r="S44" s="6" t="n">
        <v>0.597954772859485</v>
      </c>
    </row>
    <row r="45" customFormat="false" ht="15" hidden="false" customHeight="false" outlineLevel="0" collapsed="false">
      <c r="A45" s="7" t="s">
        <v>88</v>
      </c>
      <c r="B45" s="7" t="s">
        <v>20</v>
      </c>
      <c r="C45" s="8" t="n">
        <v>11.7432717763092</v>
      </c>
      <c r="D45" s="9" t="n">
        <v>598</v>
      </c>
      <c r="E45" s="8" t="n">
        <v>5737.42559911902</v>
      </c>
      <c r="F45" s="9" t="n">
        <v>36</v>
      </c>
      <c r="G45" s="9" t="n">
        <v>1</v>
      </c>
      <c r="H45" s="7" t="s">
        <v>35</v>
      </c>
      <c r="I45" s="7" t="s">
        <v>22</v>
      </c>
      <c r="J45" s="7" t="s">
        <v>23</v>
      </c>
      <c r="K45" s="7" t="s">
        <v>32</v>
      </c>
      <c r="L45" s="7" t="s">
        <v>39</v>
      </c>
      <c r="M45" s="8" t="n">
        <v>3.69402126838845</v>
      </c>
      <c r="N45" s="8" t="n">
        <v>716.044119759341</v>
      </c>
      <c r="O45" s="8" t="n">
        <v>26.2773659573324</v>
      </c>
      <c r="P45" s="10" t="n">
        <v>0.00372304767985098</v>
      </c>
      <c r="Q45" s="7" t="s">
        <v>26</v>
      </c>
      <c r="R45" s="8" t="n">
        <v>4991.41009213396</v>
      </c>
      <c r="S45" s="11" t="n">
        <v>0.869973824654108</v>
      </c>
    </row>
    <row r="46" customFormat="false" ht="15" hidden="false" customHeight="false" outlineLevel="0" collapsed="false">
      <c r="A46" s="2" t="s">
        <v>89</v>
      </c>
      <c r="B46" s="2" t="s">
        <v>49</v>
      </c>
      <c r="C46" s="3" t="n">
        <v>51.3557909131104</v>
      </c>
      <c r="D46" s="4" t="n">
        <v>919</v>
      </c>
      <c r="E46" s="3" t="n">
        <v>7152.28604943552</v>
      </c>
      <c r="F46" s="4" t="n">
        <v>13</v>
      </c>
      <c r="G46" s="4" t="n">
        <v>7</v>
      </c>
      <c r="H46" s="2" t="s">
        <v>52</v>
      </c>
      <c r="I46" s="2" t="s">
        <v>42</v>
      </c>
      <c r="J46" s="2" t="s">
        <v>37</v>
      </c>
      <c r="K46" s="2" t="s">
        <v>38</v>
      </c>
      <c r="L46" s="2" t="s">
        <v>39</v>
      </c>
      <c r="M46" s="3" t="n">
        <v>7.57744965737669</v>
      </c>
      <c r="N46" s="3" t="n">
        <v>610.453269619228</v>
      </c>
      <c r="O46" s="3" t="n">
        <v>22.5541066208877</v>
      </c>
      <c r="P46" s="5" t="n">
        <v>0.0296262632045488</v>
      </c>
      <c r="Q46" s="2" t="s">
        <v>40</v>
      </c>
      <c r="R46" s="3" t="n">
        <v>6511.70122353802</v>
      </c>
      <c r="S46" s="6" t="n">
        <v>0.910436352591344</v>
      </c>
    </row>
    <row r="47" customFormat="false" ht="15" hidden="false" customHeight="false" outlineLevel="0" collapsed="false">
      <c r="A47" s="7" t="s">
        <v>90</v>
      </c>
      <c r="B47" s="7" t="s">
        <v>20</v>
      </c>
      <c r="C47" s="8" t="n">
        <v>33.7841380330655</v>
      </c>
      <c r="D47" s="9" t="n">
        <v>24</v>
      </c>
      <c r="E47" s="8" t="n">
        <v>5267.95680751052</v>
      </c>
      <c r="F47" s="9" t="n">
        <v>93</v>
      </c>
      <c r="G47" s="9" t="n">
        <v>25</v>
      </c>
      <c r="H47" s="7" t="s">
        <v>52</v>
      </c>
      <c r="I47" s="7" t="s">
        <v>53</v>
      </c>
      <c r="J47" s="7" t="s">
        <v>23</v>
      </c>
      <c r="K47" s="7" t="s">
        <v>38</v>
      </c>
      <c r="L47" s="7" t="s">
        <v>39</v>
      </c>
      <c r="M47" s="8" t="n">
        <v>5.21515500871191</v>
      </c>
      <c r="N47" s="8" t="n">
        <v>495.305697028474</v>
      </c>
      <c r="O47" s="8" t="n">
        <v>66.3125444399917</v>
      </c>
      <c r="P47" s="10" t="n">
        <v>0.0321960461208411</v>
      </c>
      <c r="Q47" s="7" t="s">
        <v>55</v>
      </c>
      <c r="R47" s="8" t="n">
        <v>4701.12341103334</v>
      </c>
      <c r="S47" s="11" t="n">
        <v>0.892399763857395</v>
      </c>
    </row>
    <row r="48" customFormat="false" ht="15" hidden="false" customHeight="false" outlineLevel="0" collapsed="false">
      <c r="A48" s="2" t="s">
        <v>91</v>
      </c>
      <c r="B48" s="2" t="s">
        <v>20</v>
      </c>
      <c r="C48" s="3" t="n">
        <v>27.0822071998889</v>
      </c>
      <c r="D48" s="4" t="n">
        <v>859</v>
      </c>
      <c r="E48" s="3" t="n">
        <v>2556.7673606336</v>
      </c>
      <c r="F48" s="4" t="n">
        <v>92</v>
      </c>
      <c r="G48" s="4" t="n">
        <v>18</v>
      </c>
      <c r="H48" s="2" t="s">
        <v>21</v>
      </c>
      <c r="I48" s="2" t="s">
        <v>53</v>
      </c>
      <c r="J48" s="2" t="s">
        <v>23</v>
      </c>
      <c r="K48" s="2" t="s">
        <v>24</v>
      </c>
      <c r="L48" s="2" t="s">
        <v>25</v>
      </c>
      <c r="M48" s="3" t="n">
        <v>4.07095583708408</v>
      </c>
      <c r="N48" s="3" t="n">
        <v>380.435937111964</v>
      </c>
      <c r="O48" s="3" t="n">
        <v>77.3223532110516</v>
      </c>
      <c r="P48" s="5" t="n">
        <v>0.036486105925362</v>
      </c>
      <c r="Q48" s="2" t="s">
        <v>26</v>
      </c>
      <c r="R48" s="3" t="n">
        <v>2094.9381144735</v>
      </c>
      <c r="S48" s="6" t="n">
        <v>0.8193698600542</v>
      </c>
    </row>
    <row r="49" customFormat="false" ht="15" hidden="false" customHeight="false" outlineLevel="0" collapsed="false">
      <c r="A49" s="7" t="s">
        <v>92</v>
      </c>
      <c r="B49" s="7" t="s">
        <v>28</v>
      </c>
      <c r="C49" s="8" t="n">
        <v>95.7121358809361</v>
      </c>
      <c r="D49" s="9" t="n">
        <v>910</v>
      </c>
      <c r="E49" s="8" t="n">
        <v>7089.47424993419</v>
      </c>
      <c r="F49" s="9" t="n">
        <v>4</v>
      </c>
      <c r="G49" s="9" t="n">
        <v>10</v>
      </c>
      <c r="H49" s="7" t="s">
        <v>31</v>
      </c>
      <c r="I49" s="7" t="s">
        <v>36</v>
      </c>
      <c r="J49" s="7" t="s">
        <v>23</v>
      </c>
      <c r="K49" s="7" t="s">
        <v>38</v>
      </c>
      <c r="L49" s="7" t="s">
        <v>39</v>
      </c>
      <c r="M49" s="8" t="n">
        <v>8.97875075594997</v>
      </c>
      <c r="N49" s="8" t="n">
        <v>581.602355050587</v>
      </c>
      <c r="O49" s="8" t="n">
        <v>19.7129929112937</v>
      </c>
      <c r="P49" s="10" t="n">
        <v>0.00380573586713214</v>
      </c>
      <c r="Q49" s="7" t="s">
        <v>26</v>
      </c>
      <c r="R49" s="8" t="n">
        <v>6479.18015121636</v>
      </c>
      <c r="S49" s="11" t="n">
        <v>0.913915464362749</v>
      </c>
    </row>
    <row r="50" customFormat="false" ht="15" hidden="false" customHeight="false" outlineLevel="0" collapsed="false">
      <c r="A50" s="2" t="s">
        <v>93</v>
      </c>
      <c r="B50" s="2" t="s">
        <v>20</v>
      </c>
      <c r="C50" s="3" t="n">
        <v>76.0355444268917</v>
      </c>
      <c r="D50" s="4" t="n">
        <v>29</v>
      </c>
      <c r="E50" s="3" t="n">
        <v>7397.07100458718</v>
      </c>
      <c r="F50" s="4" t="n">
        <v>30</v>
      </c>
      <c r="G50" s="4" t="n">
        <v>9</v>
      </c>
      <c r="H50" s="2" t="s">
        <v>52</v>
      </c>
      <c r="I50" s="2" t="s">
        <v>22</v>
      </c>
      <c r="J50" s="2" t="s">
        <v>37</v>
      </c>
      <c r="K50" s="2" t="s">
        <v>38</v>
      </c>
      <c r="L50" s="2" t="s">
        <v>25</v>
      </c>
      <c r="M50" s="3" t="n">
        <v>7.09583315655514</v>
      </c>
      <c r="N50" s="3" t="n">
        <v>768.65191395437</v>
      </c>
      <c r="O50" s="3" t="n">
        <v>23.1263635824648</v>
      </c>
      <c r="P50" s="5" t="n">
        <v>0.016981125407144</v>
      </c>
      <c r="Q50" s="2" t="s">
        <v>40</v>
      </c>
      <c r="R50" s="3" t="n">
        <v>6598.19689389379</v>
      </c>
      <c r="S50" s="6" t="n">
        <v>0.892001292106297</v>
      </c>
    </row>
    <row r="51" customFormat="false" ht="15" hidden="false" customHeight="false" outlineLevel="0" collapsed="false">
      <c r="A51" s="7" t="s">
        <v>94</v>
      </c>
      <c r="B51" s="7" t="s">
        <v>49</v>
      </c>
      <c r="C51" s="8" t="n">
        <v>78.89791320564</v>
      </c>
      <c r="D51" s="9" t="n">
        <v>99</v>
      </c>
      <c r="E51" s="8" t="n">
        <v>8001.613206519</v>
      </c>
      <c r="F51" s="9" t="n">
        <v>97</v>
      </c>
      <c r="G51" s="9" t="n">
        <v>28</v>
      </c>
      <c r="H51" s="7" t="s">
        <v>35</v>
      </c>
      <c r="I51" s="7" t="s">
        <v>42</v>
      </c>
      <c r="J51" s="7" t="s">
        <v>37</v>
      </c>
      <c r="K51" s="7" t="s">
        <v>38</v>
      </c>
      <c r="L51" s="7" t="s">
        <v>39</v>
      </c>
      <c r="M51" s="8" t="n">
        <v>2.50562103290092</v>
      </c>
      <c r="N51" s="8" t="n">
        <v>336.890168519978</v>
      </c>
      <c r="O51" s="8" t="n">
        <v>14.1478154439792</v>
      </c>
      <c r="P51" s="10" t="n">
        <v>0.0282581398540013</v>
      </c>
      <c r="Q51" s="7" t="s">
        <v>55</v>
      </c>
      <c r="R51" s="8" t="n">
        <v>7648.06960152214</v>
      </c>
      <c r="S51" s="11" t="n">
        <v>0.95581595912324</v>
      </c>
    </row>
    <row r="52" customFormat="false" ht="15" hidden="false" customHeight="false" outlineLevel="0" collapsed="false">
      <c r="A52" s="2" t="s">
        <v>95</v>
      </c>
      <c r="B52" s="2" t="s">
        <v>49</v>
      </c>
      <c r="C52" s="3" t="n">
        <v>14.203484264803</v>
      </c>
      <c r="D52" s="4" t="n">
        <v>633</v>
      </c>
      <c r="E52" s="3" t="n">
        <v>5910.8853896689</v>
      </c>
      <c r="F52" s="4" t="n">
        <v>31</v>
      </c>
      <c r="G52" s="4" t="n">
        <v>20</v>
      </c>
      <c r="H52" s="2" t="s">
        <v>52</v>
      </c>
      <c r="I52" s="2" t="s">
        <v>42</v>
      </c>
      <c r="J52" s="2" t="s">
        <v>29</v>
      </c>
      <c r="K52" s="2" t="s">
        <v>38</v>
      </c>
      <c r="L52" s="2" t="s">
        <v>25</v>
      </c>
      <c r="M52" s="3" t="n">
        <v>6.24786091497599</v>
      </c>
      <c r="N52" s="3" t="n">
        <v>496.248650291941</v>
      </c>
      <c r="O52" s="3" t="n">
        <v>45.1787579246345</v>
      </c>
      <c r="P52" s="5" t="n">
        <v>0.0475480080467119</v>
      </c>
      <c r="Q52" s="2" t="s">
        <v>40</v>
      </c>
      <c r="R52" s="3" t="n">
        <v>5363.21012053735</v>
      </c>
      <c r="S52" s="6" t="n">
        <v>0.907344630621872</v>
      </c>
    </row>
    <row r="53" customFormat="false" ht="15" hidden="false" customHeight="false" outlineLevel="0" collapsed="false">
      <c r="A53" s="7" t="s">
        <v>96</v>
      </c>
      <c r="B53" s="7" t="s">
        <v>20</v>
      </c>
      <c r="C53" s="8" t="n">
        <v>26.7007609724617</v>
      </c>
      <c r="D53" s="9" t="n">
        <v>154</v>
      </c>
      <c r="E53" s="8" t="n">
        <v>9866.4654579797</v>
      </c>
      <c r="F53" s="9" t="n">
        <v>100</v>
      </c>
      <c r="G53" s="9" t="n">
        <v>18</v>
      </c>
      <c r="H53" s="7" t="s">
        <v>35</v>
      </c>
      <c r="I53" s="7" t="s">
        <v>45</v>
      </c>
      <c r="J53" s="7" t="s">
        <v>29</v>
      </c>
      <c r="K53" s="7" t="s">
        <v>24</v>
      </c>
      <c r="L53" s="7" t="s">
        <v>39</v>
      </c>
      <c r="M53" s="8" t="n">
        <v>4.78300055794767</v>
      </c>
      <c r="N53" s="8" t="n">
        <v>694.982317579446</v>
      </c>
      <c r="O53" s="8" t="n">
        <v>14.19032834457</v>
      </c>
      <c r="P53" s="10" t="n">
        <v>0.0177295117208356</v>
      </c>
      <c r="Q53" s="7" t="s">
        <v>26</v>
      </c>
      <c r="R53" s="8" t="n">
        <v>9152.50981149773</v>
      </c>
      <c r="S53" s="11" t="n">
        <v>0.92763815476549</v>
      </c>
    </row>
    <row r="54" customFormat="false" ht="15" hidden="false" customHeight="false" outlineLevel="0" collapsed="false">
      <c r="A54" s="2" t="s">
        <v>97</v>
      </c>
      <c r="B54" s="2" t="s">
        <v>28</v>
      </c>
      <c r="C54" s="3" t="n">
        <v>98.0318296564651</v>
      </c>
      <c r="D54" s="4" t="n">
        <v>820</v>
      </c>
      <c r="E54" s="3" t="n">
        <v>9435.76260891213</v>
      </c>
      <c r="F54" s="4" t="n">
        <v>64</v>
      </c>
      <c r="G54" s="4" t="n">
        <v>10</v>
      </c>
      <c r="H54" s="2" t="s">
        <v>31</v>
      </c>
      <c r="I54" s="2" t="s">
        <v>22</v>
      </c>
      <c r="J54" s="2" t="s">
        <v>23</v>
      </c>
      <c r="K54" s="2" t="s">
        <v>32</v>
      </c>
      <c r="L54" s="2" t="s">
        <v>33</v>
      </c>
      <c r="M54" s="3" t="n">
        <v>8.63105217976895</v>
      </c>
      <c r="N54" s="3" t="n">
        <v>602.898498838383</v>
      </c>
      <c r="O54" s="3" t="n">
        <v>9.16684914859715</v>
      </c>
      <c r="P54" s="5" t="n">
        <v>0.0212247161914382</v>
      </c>
      <c r="Q54" s="2" t="s">
        <v>26</v>
      </c>
      <c r="R54" s="3" t="n">
        <v>8815.06620874538</v>
      </c>
      <c r="S54" s="6" t="n">
        <v>0.934218735051632</v>
      </c>
    </row>
    <row r="55" customFormat="false" ht="15" hidden="false" customHeight="false" outlineLevel="0" collapsed="false">
      <c r="A55" s="7" t="s">
        <v>98</v>
      </c>
      <c r="B55" s="7" t="s">
        <v>28</v>
      </c>
      <c r="C55" s="8" t="n">
        <v>30.3414707112142</v>
      </c>
      <c r="D55" s="9" t="n">
        <v>242</v>
      </c>
      <c r="E55" s="8" t="n">
        <v>8232.33482942582</v>
      </c>
      <c r="F55" s="9" t="n">
        <v>96</v>
      </c>
      <c r="G55" s="9" t="n">
        <v>1</v>
      </c>
      <c r="H55" s="7" t="s">
        <v>31</v>
      </c>
      <c r="I55" s="7" t="s">
        <v>42</v>
      </c>
      <c r="J55" s="7" t="s">
        <v>23</v>
      </c>
      <c r="K55" s="7" t="s">
        <v>32</v>
      </c>
      <c r="L55" s="7" t="s">
        <v>25</v>
      </c>
      <c r="M55" s="8" t="n">
        <v>1.0134865660959</v>
      </c>
      <c r="N55" s="8" t="n">
        <v>750.737840668271</v>
      </c>
      <c r="O55" s="8" t="n">
        <v>83.344058991678</v>
      </c>
      <c r="P55" s="10" t="n">
        <v>0.0141034757607603</v>
      </c>
      <c r="Q55" s="7" t="s">
        <v>26</v>
      </c>
      <c r="R55" s="8" t="n">
        <v>7397.23944319978</v>
      </c>
      <c r="S55" s="11" t="n">
        <v>0.898559108256741</v>
      </c>
    </row>
    <row r="56" customFormat="false" ht="15" hidden="false" customHeight="false" outlineLevel="0" collapsed="false">
      <c r="A56" s="2" t="s">
        <v>99</v>
      </c>
      <c r="B56" s="2" t="s">
        <v>20</v>
      </c>
      <c r="C56" s="3" t="n">
        <v>31.1462431602409</v>
      </c>
      <c r="D56" s="4" t="n">
        <v>622</v>
      </c>
      <c r="E56" s="3" t="n">
        <v>6088.02147994086</v>
      </c>
      <c r="F56" s="4" t="n">
        <v>33</v>
      </c>
      <c r="G56" s="4" t="n">
        <v>26</v>
      </c>
      <c r="H56" s="2" t="s">
        <v>31</v>
      </c>
      <c r="I56" s="2" t="s">
        <v>36</v>
      </c>
      <c r="J56" s="2" t="s">
        <v>23</v>
      </c>
      <c r="K56" s="2" t="s">
        <v>24</v>
      </c>
      <c r="L56" s="2" t="s">
        <v>25</v>
      </c>
      <c r="M56" s="3" t="n">
        <v>4.30510347128764</v>
      </c>
      <c r="N56" s="3" t="n">
        <v>814.069996582188</v>
      </c>
      <c r="O56" s="3" t="n">
        <v>30.1860233758225</v>
      </c>
      <c r="P56" s="5" t="n">
        <v>0.0247877197553975</v>
      </c>
      <c r="Q56" s="2" t="s">
        <v>55</v>
      </c>
      <c r="R56" s="3" t="n">
        <v>5239.46035651156</v>
      </c>
      <c r="S56" s="6" t="n">
        <v>0.860617915652042</v>
      </c>
    </row>
    <row r="57" customFormat="false" ht="15" hidden="false" customHeight="false" outlineLevel="0" collapsed="false">
      <c r="A57" s="7" t="s">
        <v>100</v>
      </c>
      <c r="B57" s="7" t="s">
        <v>20</v>
      </c>
      <c r="C57" s="8" t="n">
        <v>79.8550583407894</v>
      </c>
      <c r="D57" s="9" t="n">
        <v>701</v>
      </c>
      <c r="E57" s="8" t="n">
        <v>2925.67517030381</v>
      </c>
      <c r="F57" s="9" t="n">
        <v>97</v>
      </c>
      <c r="G57" s="9" t="n">
        <v>27</v>
      </c>
      <c r="H57" s="7" t="s">
        <v>52</v>
      </c>
      <c r="I57" s="7" t="s">
        <v>42</v>
      </c>
      <c r="J57" s="7" t="s">
        <v>29</v>
      </c>
      <c r="K57" s="7" t="s">
        <v>47</v>
      </c>
      <c r="L57" s="7" t="s">
        <v>25</v>
      </c>
      <c r="M57" s="8" t="n">
        <v>5.01436495503091</v>
      </c>
      <c r="N57" s="8" t="n">
        <v>323.012927952479</v>
      </c>
      <c r="O57" s="8" t="n">
        <v>30.3235452566165</v>
      </c>
      <c r="P57" s="10" t="n">
        <v>0.0454891965939639</v>
      </c>
      <c r="Q57" s="7" t="s">
        <v>40</v>
      </c>
      <c r="R57" s="8" t="n">
        <v>2567.32433213969</v>
      </c>
      <c r="S57" s="11" t="n">
        <v>0.87751516579781</v>
      </c>
    </row>
    <row r="58" customFormat="false" ht="15" hidden="false" customHeight="false" outlineLevel="0" collapsed="false">
      <c r="A58" s="2" t="s">
        <v>101</v>
      </c>
      <c r="B58" s="2" t="s">
        <v>28</v>
      </c>
      <c r="C58" s="3" t="n">
        <v>20.9863860370434</v>
      </c>
      <c r="D58" s="4" t="n">
        <v>93</v>
      </c>
      <c r="E58" s="3" t="n">
        <v>4767.02048434414</v>
      </c>
      <c r="F58" s="4" t="n">
        <v>25</v>
      </c>
      <c r="G58" s="4" t="n">
        <v>24</v>
      </c>
      <c r="H58" s="2" t="s">
        <v>31</v>
      </c>
      <c r="I58" s="2" t="s">
        <v>22</v>
      </c>
      <c r="J58" s="2" t="s">
        <v>37</v>
      </c>
      <c r="K58" s="2" t="s">
        <v>32</v>
      </c>
      <c r="L58" s="2" t="s">
        <v>25</v>
      </c>
      <c r="M58" s="3" t="n">
        <v>1.77442971407174</v>
      </c>
      <c r="N58" s="3" t="n">
        <v>832.210808706022</v>
      </c>
      <c r="O58" s="3" t="n">
        <v>12.8362845728328</v>
      </c>
      <c r="P58" s="5" t="n">
        <v>0.0117375549538745</v>
      </c>
      <c r="Q58" s="2" t="s">
        <v>55</v>
      </c>
      <c r="R58" s="3" t="n">
        <v>3920.19896135121</v>
      </c>
      <c r="S58" s="6" t="n">
        <v>0.822358320931479</v>
      </c>
    </row>
    <row r="59" customFormat="false" ht="15" hidden="false" customHeight="false" outlineLevel="0" collapsed="false">
      <c r="A59" s="7" t="s">
        <v>102</v>
      </c>
      <c r="B59" s="7" t="s">
        <v>20</v>
      </c>
      <c r="C59" s="8" t="n">
        <v>49.2632053507342</v>
      </c>
      <c r="D59" s="9" t="n">
        <v>227</v>
      </c>
      <c r="E59" s="8" t="n">
        <v>1605.86690039241</v>
      </c>
      <c r="F59" s="9" t="n">
        <v>5</v>
      </c>
      <c r="G59" s="9" t="n">
        <v>21</v>
      </c>
      <c r="H59" s="7" t="s">
        <v>52</v>
      </c>
      <c r="I59" s="7" t="s">
        <v>42</v>
      </c>
      <c r="J59" s="7" t="s">
        <v>23</v>
      </c>
      <c r="K59" s="7" t="s">
        <v>38</v>
      </c>
      <c r="L59" s="7" t="s">
        <v>39</v>
      </c>
      <c r="M59" s="8" t="n">
        <v>9.16055853538187</v>
      </c>
      <c r="N59" s="8" t="n">
        <v>482.191238602528</v>
      </c>
      <c r="O59" s="8" t="n">
        <v>67.7796229870781</v>
      </c>
      <c r="P59" s="10" t="n">
        <v>0.0251117483021271</v>
      </c>
      <c r="Q59" s="7" t="s">
        <v>26</v>
      </c>
      <c r="R59" s="8" t="n">
        <v>1046.73548026742</v>
      </c>
      <c r="S59" s="11" t="n">
        <v>0.651819574842498</v>
      </c>
    </row>
    <row r="60" customFormat="false" ht="15" hidden="false" customHeight="false" outlineLevel="0" collapsed="false">
      <c r="A60" s="2" t="s">
        <v>103</v>
      </c>
      <c r="B60" s="2" t="s">
        <v>28</v>
      </c>
      <c r="C60" s="3" t="n">
        <v>59.8415613772893</v>
      </c>
      <c r="D60" s="4" t="n">
        <v>896</v>
      </c>
      <c r="E60" s="3" t="n">
        <v>2021.14981033711</v>
      </c>
      <c r="F60" s="4" t="n">
        <v>10</v>
      </c>
      <c r="G60" s="4" t="n">
        <v>18</v>
      </c>
      <c r="H60" s="2" t="s">
        <v>21</v>
      </c>
      <c r="I60" s="2" t="s">
        <v>42</v>
      </c>
      <c r="J60" s="2" t="s">
        <v>29</v>
      </c>
      <c r="K60" s="2" t="s">
        <v>24</v>
      </c>
      <c r="L60" s="2" t="s">
        <v>25</v>
      </c>
      <c r="M60" s="3" t="n">
        <v>4.93843856471209</v>
      </c>
      <c r="N60" s="3" t="n">
        <v>110.364335231365</v>
      </c>
      <c r="O60" s="3" t="n">
        <v>65.0474150946915</v>
      </c>
      <c r="P60" s="5" t="n">
        <v>0.017303747198592</v>
      </c>
      <c r="Q60" s="2" t="s">
        <v>40</v>
      </c>
      <c r="R60" s="3" t="n">
        <v>1840.79962144634</v>
      </c>
      <c r="S60" s="6" t="n">
        <v>0.910768519993732</v>
      </c>
    </row>
    <row r="61" customFormat="false" ht="15" hidden="false" customHeight="false" outlineLevel="0" collapsed="false">
      <c r="A61" s="7" t="s">
        <v>104</v>
      </c>
      <c r="B61" s="7" t="s">
        <v>49</v>
      </c>
      <c r="C61" s="8" t="n">
        <v>63.828398347711</v>
      </c>
      <c r="D61" s="9" t="n">
        <v>484</v>
      </c>
      <c r="E61" s="8" t="n">
        <v>1061.61852301329</v>
      </c>
      <c r="F61" s="9" t="n">
        <v>100</v>
      </c>
      <c r="G61" s="9" t="n">
        <v>11</v>
      </c>
      <c r="H61" s="7" t="s">
        <v>31</v>
      </c>
      <c r="I61" s="7" t="s">
        <v>36</v>
      </c>
      <c r="J61" s="7" t="s">
        <v>23</v>
      </c>
      <c r="K61" s="7" t="s">
        <v>32</v>
      </c>
      <c r="L61" s="7" t="s">
        <v>39</v>
      </c>
      <c r="M61" s="8" t="n">
        <v>7.29372259686773</v>
      </c>
      <c r="N61" s="8" t="n">
        <v>312.574273610093</v>
      </c>
      <c r="O61" s="8" t="n">
        <v>1.90076224351946</v>
      </c>
      <c r="P61" s="10" t="n">
        <v>0.00447194015463823</v>
      </c>
      <c r="Q61" s="7" t="s">
        <v>40</v>
      </c>
      <c r="R61" s="8" t="n">
        <v>739.849764562808</v>
      </c>
      <c r="S61" s="11" t="n">
        <v>0.696907362225392</v>
      </c>
    </row>
    <row r="62" customFormat="false" ht="15" hidden="false" customHeight="false" outlineLevel="0" collapsed="false">
      <c r="A62" s="2" t="s">
        <v>105</v>
      </c>
      <c r="B62" s="2" t="s">
        <v>28</v>
      </c>
      <c r="C62" s="3" t="n">
        <v>17.0280279201887</v>
      </c>
      <c r="D62" s="4" t="n">
        <v>380</v>
      </c>
      <c r="E62" s="3" t="n">
        <v>8864.08434958644</v>
      </c>
      <c r="F62" s="4" t="n">
        <v>41</v>
      </c>
      <c r="G62" s="4" t="n">
        <v>29</v>
      </c>
      <c r="H62" s="2" t="s">
        <v>44</v>
      </c>
      <c r="I62" s="2" t="s">
        <v>22</v>
      </c>
      <c r="J62" s="2" t="s">
        <v>37</v>
      </c>
      <c r="K62" s="2" t="s">
        <v>38</v>
      </c>
      <c r="L62" s="2" t="s">
        <v>39</v>
      </c>
      <c r="M62" s="3" t="n">
        <v>4.38136815810232</v>
      </c>
      <c r="N62" s="3" t="n">
        <v>430.169096975137</v>
      </c>
      <c r="O62" s="3" t="n">
        <v>87.2130578151357</v>
      </c>
      <c r="P62" s="5" t="n">
        <v>0.0285309061664905</v>
      </c>
      <c r="Q62" s="2" t="s">
        <v>40</v>
      </c>
      <c r="R62" s="3" t="n">
        <v>8342.32082663806</v>
      </c>
      <c r="S62" s="6" t="n">
        <v>0.941137346806417</v>
      </c>
    </row>
    <row r="63" customFormat="false" ht="15" hidden="false" customHeight="false" outlineLevel="0" collapsed="false">
      <c r="A63" s="7" t="s">
        <v>106</v>
      </c>
      <c r="B63" s="7" t="s">
        <v>20</v>
      </c>
      <c r="C63" s="8" t="n">
        <v>52.0287499032949</v>
      </c>
      <c r="D63" s="9" t="n">
        <v>117</v>
      </c>
      <c r="E63" s="8" t="n">
        <v>6885.58935089625</v>
      </c>
      <c r="F63" s="9" t="n">
        <v>32</v>
      </c>
      <c r="G63" s="9" t="n">
        <v>14</v>
      </c>
      <c r="H63" s="7" t="s">
        <v>44</v>
      </c>
      <c r="I63" s="7" t="s">
        <v>36</v>
      </c>
      <c r="J63" s="7" t="s">
        <v>37</v>
      </c>
      <c r="K63" s="7" t="s">
        <v>32</v>
      </c>
      <c r="L63" s="7" t="s">
        <v>39</v>
      </c>
      <c r="M63" s="8" t="n">
        <v>9.03034042252195</v>
      </c>
      <c r="N63" s="8" t="n">
        <v>164.366528243419</v>
      </c>
      <c r="O63" s="8" t="n">
        <v>78.7023939688789</v>
      </c>
      <c r="P63" s="10" t="n">
        <v>0.0436747053820505</v>
      </c>
      <c r="Q63" s="7" t="s">
        <v>40</v>
      </c>
      <c r="R63" s="8" t="n">
        <v>6633.49008826143</v>
      </c>
      <c r="S63" s="11" t="n">
        <v>0.963387409590146</v>
      </c>
    </row>
    <row r="64" customFormat="false" ht="15" hidden="false" customHeight="false" outlineLevel="0" collapsed="false">
      <c r="A64" s="2" t="s">
        <v>107</v>
      </c>
      <c r="B64" s="2" t="s">
        <v>49</v>
      </c>
      <c r="C64" s="3" t="n">
        <v>72.7963539555874</v>
      </c>
      <c r="D64" s="4" t="n">
        <v>270</v>
      </c>
      <c r="E64" s="3" t="n">
        <v>3899.74683372922</v>
      </c>
      <c r="F64" s="4" t="n">
        <v>86</v>
      </c>
      <c r="G64" s="4" t="n">
        <v>13</v>
      </c>
      <c r="H64" s="2" t="s">
        <v>52</v>
      </c>
      <c r="I64" s="2" t="s">
        <v>22</v>
      </c>
      <c r="J64" s="2" t="s">
        <v>37</v>
      </c>
      <c r="K64" s="2" t="s">
        <v>47</v>
      </c>
      <c r="L64" s="2" t="s">
        <v>33</v>
      </c>
      <c r="M64" s="3" t="n">
        <v>7.29170138877678</v>
      </c>
      <c r="N64" s="3" t="n">
        <v>320.846515759112</v>
      </c>
      <c r="O64" s="3" t="n">
        <v>21.0486427251686</v>
      </c>
      <c r="P64" s="5" t="n">
        <v>0.0187400140404438</v>
      </c>
      <c r="Q64" s="2" t="s">
        <v>55</v>
      </c>
      <c r="R64" s="3" t="n">
        <v>3550.55997385617</v>
      </c>
      <c r="S64" s="6" t="n">
        <v>0.910459095228205</v>
      </c>
    </row>
    <row r="65" customFormat="false" ht="15" hidden="false" customHeight="false" outlineLevel="0" collapsed="false">
      <c r="A65" s="7" t="s">
        <v>108</v>
      </c>
      <c r="B65" s="7" t="s">
        <v>28</v>
      </c>
      <c r="C65" s="8" t="n">
        <v>13.0173767852879</v>
      </c>
      <c r="D65" s="9" t="n">
        <v>246</v>
      </c>
      <c r="E65" s="8" t="n">
        <v>4256.94914085023</v>
      </c>
      <c r="F65" s="9" t="n">
        <v>54</v>
      </c>
      <c r="G65" s="9" t="n">
        <v>18</v>
      </c>
      <c r="H65" s="7" t="s">
        <v>21</v>
      </c>
      <c r="I65" s="7" t="s">
        <v>45</v>
      </c>
      <c r="J65" s="7" t="s">
        <v>29</v>
      </c>
      <c r="K65" s="7" t="s">
        <v>47</v>
      </c>
      <c r="L65" s="7" t="s">
        <v>39</v>
      </c>
      <c r="M65" s="8" t="n">
        <v>2.45793352798733</v>
      </c>
      <c r="N65" s="8" t="n">
        <v>687.286177866417</v>
      </c>
      <c r="O65" s="8" t="n">
        <v>20.0750039756305</v>
      </c>
      <c r="P65" s="10" t="n">
        <v>0.0363284329038213</v>
      </c>
      <c r="Q65" s="7" t="s">
        <v>26</v>
      </c>
      <c r="R65" s="8" t="n">
        <v>3547.13002548019</v>
      </c>
      <c r="S65" s="11" t="n">
        <v>0.833256378715329</v>
      </c>
    </row>
    <row r="66" customFormat="false" ht="15" hidden="false" customHeight="false" outlineLevel="0" collapsed="false">
      <c r="A66" s="2" t="s">
        <v>109</v>
      </c>
      <c r="B66" s="2" t="s">
        <v>28</v>
      </c>
      <c r="C66" s="3" t="n">
        <v>89.6340956081353</v>
      </c>
      <c r="D66" s="4" t="n">
        <v>134</v>
      </c>
      <c r="E66" s="3" t="n">
        <v>8458.73087836718</v>
      </c>
      <c r="F66" s="4" t="n">
        <v>73</v>
      </c>
      <c r="G66" s="4" t="n">
        <v>17</v>
      </c>
      <c r="H66" s="2" t="s">
        <v>31</v>
      </c>
      <c r="I66" s="2" t="s">
        <v>42</v>
      </c>
      <c r="J66" s="2" t="s">
        <v>37</v>
      </c>
      <c r="K66" s="2" t="s">
        <v>32</v>
      </c>
      <c r="L66" s="2" t="s">
        <v>33</v>
      </c>
      <c r="M66" s="3" t="n">
        <v>4.58535346819465</v>
      </c>
      <c r="N66" s="3" t="n">
        <v>771.225084681158</v>
      </c>
      <c r="O66" s="3" t="n">
        <v>8.69304242587729</v>
      </c>
      <c r="P66" s="5" t="n">
        <v>0.00159486314717515</v>
      </c>
      <c r="Q66" s="2" t="s">
        <v>40</v>
      </c>
      <c r="R66" s="3" t="n">
        <v>7674.22739779195</v>
      </c>
      <c r="S66" s="6" t="n">
        <v>0.907255179074019</v>
      </c>
    </row>
    <row r="67" customFormat="false" ht="15" hidden="false" customHeight="false" outlineLevel="0" collapsed="false">
      <c r="A67" s="7" t="s">
        <v>110</v>
      </c>
      <c r="B67" s="7" t="s">
        <v>28</v>
      </c>
      <c r="C67" s="8" t="n">
        <v>33.6977172066431</v>
      </c>
      <c r="D67" s="9" t="n">
        <v>457</v>
      </c>
      <c r="E67" s="8" t="n">
        <v>8354.579686482</v>
      </c>
      <c r="F67" s="9" t="n">
        <v>57</v>
      </c>
      <c r="G67" s="9" t="n">
        <v>16</v>
      </c>
      <c r="H67" s="7" t="s">
        <v>35</v>
      </c>
      <c r="I67" s="7" t="s">
        <v>36</v>
      </c>
      <c r="J67" s="7" t="s">
        <v>37</v>
      </c>
      <c r="K67" s="7" t="s">
        <v>38</v>
      </c>
      <c r="L67" s="7" t="s">
        <v>33</v>
      </c>
      <c r="M67" s="8" t="n">
        <v>6.5805413478846</v>
      </c>
      <c r="N67" s="8" t="n">
        <v>555.859103671744</v>
      </c>
      <c r="O67" s="8" t="n">
        <v>1.59722274305068</v>
      </c>
      <c r="P67" s="10" t="n">
        <v>0.0491109595484233</v>
      </c>
      <c r="Q67" s="7" t="s">
        <v>40</v>
      </c>
      <c r="R67" s="8" t="n">
        <v>7790.54281871932</v>
      </c>
      <c r="S67" s="11" t="n">
        <v>0.932487702681763</v>
      </c>
    </row>
    <row r="68" customFormat="false" ht="15" hidden="false" customHeight="false" outlineLevel="0" collapsed="false">
      <c r="A68" s="2" t="s">
        <v>111</v>
      </c>
      <c r="B68" s="2" t="s">
        <v>28</v>
      </c>
      <c r="C68" s="3" t="n">
        <v>26.0348697739621</v>
      </c>
      <c r="D68" s="4" t="n">
        <v>704</v>
      </c>
      <c r="E68" s="3" t="n">
        <v>8367.72161802015</v>
      </c>
      <c r="F68" s="4" t="n">
        <v>13</v>
      </c>
      <c r="G68" s="4" t="n">
        <v>24</v>
      </c>
      <c r="H68" s="2" t="s">
        <v>35</v>
      </c>
      <c r="I68" s="2" t="s">
        <v>36</v>
      </c>
      <c r="J68" s="2" t="s">
        <v>29</v>
      </c>
      <c r="K68" s="2" t="s">
        <v>24</v>
      </c>
      <c r="L68" s="2" t="s">
        <v>39</v>
      </c>
      <c r="M68" s="3" t="n">
        <v>2.21614272877136</v>
      </c>
      <c r="N68" s="3" t="n">
        <v>393.843348578428</v>
      </c>
      <c r="O68" s="3" t="n">
        <v>42.08443673831</v>
      </c>
      <c r="P68" s="5" t="n">
        <v>0.0344806328834026</v>
      </c>
      <c r="Q68" s="2" t="s">
        <v>40</v>
      </c>
      <c r="R68" s="3" t="n">
        <v>7929.57768997465</v>
      </c>
      <c r="S68" s="6" t="n">
        <v>0.947638802048344</v>
      </c>
    </row>
    <row r="69" customFormat="false" ht="15" hidden="false" customHeight="false" outlineLevel="0" collapsed="false">
      <c r="A69" s="7" t="s">
        <v>112</v>
      </c>
      <c r="B69" s="7" t="s">
        <v>28</v>
      </c>
      <c r="C69" s="8" t="n">
        <v>87.7554323540011</v>
      </c>
      <c r="D69" s="9" t="n">
        <v>513</v>
      </c>
      <c r="E69" s="8" t="n">
        <v>9473.79803250834</v>
      </c>
      <c r="F69" s="9" t="n">
        <v>12</v>
      </c>
      <c r="G69" s="9" t="n">
        <v>10</v>
      </c>
      <c r="H69" s="7" t="s">
        <v>31</v>
      </c>
      <c r="I69" s="7" t="s">
        <v>22</v>
      </c>
      <c r="J69" s="7" t="s">
        <v>37</v>
      </c>
      <c r="K69" s="7" t="s">
        <v>47</v>
      </c>
      <c r="L69" s="7" t="s">
        <v>33</v>
      </c>
      <c r="M69" s="8" t="n">
        <v>9.14781154471063</v>
      </c>
      <c r="N69" s="8" t="n">
        <v>169.271801384787</v>
      </c>
      <c r="O69" s="8" t="n">
        <v>7.05787614697823</v>
      </c>
      <c r="P69" s="10" t="n">
        <v>0.00131955444311815</v>
      </c>
      <c r="Q69" s="7" t="s">
        <v>55</v>
      </c>
      <c r="R69" s="8" t="n">
        <v>9288.32054343186</v>
      </c>
      <c r="S69" s="11" t="n">
        <v>0.980422055817526</v>
      </c>
    </row>
    <row r="70" customFormat="false" ht="15" hidden="false" customHeight="false" outlineLevel="0" collapsed="false">
      <c r="A70" s="2" t="s">
        <v>113</v>
      </c>
      <c r="B70" s="2" t="s">
        <v>20</v>
      </c>
      <c r="C70" s="3" t="n">
        <v>37.9318123827903</v>
      </c>
      <c r="D70" s="4" t="n">
        <v>163</v>
      </c>
      <c r="E70" s="3" t="n">
        <v>3550.21843278099</v>
      </c>
      <c r="F70" s="4" t="n">
        <v>0</v>
      </c>
      <c r="G70" s="4" t="n">
        <v>2</v>
      </c>
      <c r="H70" s="2" t="s">
        <v>52</v>
      </c>
      <c r="I70" s="2" t="s">
        <v>45</v>
      </c>
      <c r="J70" s="2" t="s">
        <v>23</v>
      </c>
      <c r="K70" s="2" t="s">
        <v>38</v>
      </c>
      <c r="L70" s="2" t="s">
        <v>39</v>
      </c>
      <c r="M70" s="3" t="n">
        <v>1.194251864885</v>
      </c>
      <c r="N70" s="3" t="n">
        <v>299.706303118103</v>
      </c>
      <c r="O70" s="3" t="n">
        <v>97.1135815634622</v>
      </c>
      <c r="P70" s="5" t="n">
        <v>0.0198346787217418</v>
      </c>
      <c r="Q70" s="2" t="s">
        <v>40</v>
      </c>
      <c r="R70" s="3" t="n">
        <v>3152.20429623454</v>
      </c>
      <c r="S70" s="6" t="n">
        <v>0.88789023997189</v>
      </c>
    </row>
    <row r="71" customFormat="false" ht="15" hidden="false" customHeight="false" outlineLevel="0" collapsed="false">
      <c r="A71" s="7" t="s">
        <v>114</v>
      </c>
      <c r="B71" s="7" t="s">
        <v>28</v>
      </c>
      <c r="C71" s="8" t="n">
        <v>54.8655285170698</v>
      </c>
      <c r="D71" s="9" t="n">
        <v>511</v>
      </c>
      <c r="E71" s="8" t="n">
        <v>1752.38108748413</v>
      </c>
      <c r="F71" s="9" t="n">
        <v>95</v>
      </c>
      <c r="G71" s="9" t="n">
        <v>9</v>
      </c>
      <c r="H71" s="7" t="s">
        <v>44</v>
      </c>
      <c r="I71" s="7" t="s">
        <v>36</v>
      </c>
      <c r="J71" s="7" t="s">
        <v>23</v>
      </c>
      <c r="K71" s="7" t="s">
        <v>32</v>
      </c>
      <c r="L71" s="7" t="s">
        <v>39</v>
      </c>
      <c r="M71" s="8" t="n">
        <v>9.70528679012035</v>
      </c>
      <c r="N71" s="8" t="n">
        <v>207.663206208576</v>
      </c>
      <c r="O71" s="8" t="n">
        <v>77.6277658127482</v>
      </c>
      <c r="P71" s="10" t="n">
        <v>0.0136238798864911</v>
      </c>
      <c r="Q71" s="7" t="s">
        <v>26</v>
      </c>
      <c r="R71" s="8" t="n">
        <v>1457.38482867268</v>
      </c>
      <c r="S71" s="11" t="n">
        <v>0.831659756591549</v>
      </c>
    </row>
    <row r="72" customFormat="false" ht="15" hidden="false" customHeight="false" outlineLevel="0" collapsed="false">
      <c r="A72" s="2" t="s">
        <v>115</v>
      </c>
      <c r="B72" s="2" t="s">
        <v>20</v>
      </c>
      <c r="C72" s="3" t="n">
        <v>47.9145418240588</v>
      </c>
      <c r="D72" s="4" t="n">
        <v>32</v>
      </c>
      <c r="E72" s="3" t="n">
        <v>7014.88798720339</v>
      </c>
      <c r="F72" s="4" t="n">
        <v>10</v>
      </c>
      <c r="G72" s="4" t="n">
        <v>22</v>
      </c>
      <c r="H72" s="2" t="s">
        <v>31</v>
      </c>
      <c r="I72" s="2" t="s">
        <v>45</v>
      </c>
      <c r="J72" s="2" t="s">
        <v>23</v>
      </c>
      <c r="K72" s="2" t="s">
        <v>24</v>
      </c>
      <c r="L72" s="2" t="s">
        <v>33</v>
      </c>
      <c r="M72" s="3" t="n">
        <v>6.31571775460072</v>
      </c>
      <c r="N72" s="3" t="n">
        <v>183.272898748711</v>
      </c>
      <c r="O72" s="3" t="n">
        <v>11.4407818237613</v>
      </c>
      <c r="P72" s="5" t="n">
        <v>0.0183057559861223</v>
      </c>
      <c r="Q72" s="2" t="s">
        <v>55</v>
      </c>
      <c r="R72" s="3" t="n">
        <v>6813.85858887632</v>
      </c>
      <c r="S72" s="6" t="n">
        <v>0.971342464955422</v>
      </c>
    </row>
    <row r="73" customFormat="false" ht="15" hidden="false" customHeight="false" outlineLevel="0" collapsed="false">
      <c r="A73" s="7" t="s">
        <v>116</v>
      </c>
      <c r="B73" s="7" t="s">
        <v>49</v>
      </c>
      <c r="C73" s="8" t="n">
        <v>6.38153316274797</v>
      </c>
      <c r="D73" s="9" t="n">
        <v>637</v>
      </c>
      <c r="E73" s="8" t="n">
        <v>8180.33708542544</v>
      </c>
      <c r="F73" s="9" t="n">
        <v>76</v>
      </c>
      <c r="G73" s="9" t="n">
        <v>2</v>
      </c>
      <c r="H73" s="7" t="s">
        <v>52</v>
      </c>
      <c r="I73" s="7" t="s">
        <v>45</v>
      </c>
      <c r="J73" s="7" t="s">
        <v>29</v>
      </c>
      <c r="K73" s="7" t="s">
        <v>24</v>
      </c>
      <c r="L73" s="7" t="s">
        <v>39</v>
      </c>
      <c r="M73" s="8" t="n">
        <v>9.22819031705252</v>
      </c>
      <c r="N73" s="8" t="n">
        <v>405.167067888856</v>
      </c>
      <c r="O73" s="8" t="n">
        <v>30.6616774778596</v>
      </c>
      <c r="P73" s="10" t="n">
        <v>0.0207875060787497</v>
      </c>
      <c r="Q73" s="7" t="s">
        <v>26</v>
      </c>
      <c r="R73" s="8" t="n">
        <v>7735.28014974168</v>
      </c>
      <c r="S73" s="11" t="n">
        <v>0.945594303628795</v>
      </c>
    </row>
    <row r="74" customFormat="false" ht="15" hidden="false" customHeight="false" outlineLevel="0" collapsed="false">
      <c r="A74" s="2" t="s">
        <v>117</v>
      </c>
      <c r="B74" s="2" t="s">
        <v>49</v>
      </c>
      <c r="C74" s="3" t="n">
        <v>90.2044275205281</v>
      </c>
      <c r="D74" s="4" t="n">
        <v>478</v>
      </c>
      <c r="E74" s="3" t="n">
        <v>2633.12198131226</v>
      </c>
      <c r="F74" s="4" t="n">
        <v>57</v>
      </c>
      <c r="G74" s="4" t="n">
        <v>21</v>
      </c>
      <c r="H74" s="2" t="s">
        <v>31</v>
      </c>
      <c r="I74" s="2" t="s">
        <v>45</v>
      </c>
      <c r="J74" s="2" t="s">
        <v>29</v>
      </c>
      <c r="K74" s="2" t="s">
        <v>38</v>
      </c>
      <c r="L74" s="2" t="s">
        <v>25</v>
      </c>
      <c r="M74" s="3" t="n">
        <v>6.59961415968954</v>
      </c>
      <c r="N74" s="3" t="n">
        <v>677.944569846183</v>
      </c>
      <c r="O74" s="3" t="n">
        <v>55.7604928952442</v>
      </c>
      <c r="P74" s="5" t="n">
        <v>0.0321332960743831</v>
      </c>
      <c r="Q74" s="2" t="s">
        <v>26</v>
      </c>
      <c r="R74" s="3" t="n">
        <v>1892.81730441114</v>
      </c>
      <c r="S74" s="6" t="n">
        <v>0.718849076436567</v>
      </c>
    </row>
    <row r="75" customFormat="false" ht="15" hidden="false" customHeight="false" outlineLevel="0" collapsed="false">
      <c r="A75" s="7" t="s">
        <v>118</v>
      </c>
      <c r="B75" s="7" t="s">
        <v>49</v>
      </c>
      <c r="C75" s="8" t="n">
        <v>83.8510176813046</v>
      </c>
      <c r="D75" s="9" t="n">
        <v>375</v>
      </c>
      <c r="E75" s="8" t="n">
        <v>7910.88691614069</v>
      </c>
      <c r="F75" s="9" t="n">
        <v>17</v>
      </c>
      <c r="G75" s="9" t="n">
        <v>13</v>
      </c>
      <c r="H75" s="7" t="s">
        <v>44</v>
      </c>
      <c r="I75" s="7" t="s">
        <v>53</v>
      </c>
      <c r="J75" s="7" t="s">
        <v>23</v>
      </c>
      <c r="K75" s="7" t="s">
        <v>24</v>
      </c>
      <c r="L75" s="7" t="s">
        <v>39</v>
      </c>
      <c r="M75" s="8" t="n">
        <v>1.51293683691608</v>
      </c>
      <c r="N75" s="8" t="n">
        <v>866.472800129658</v>
      </c>
      <c r="O75" s="8" t="n">
        <v>46.8702387976172</v>
      </c>
      <c r="P75" s="10" t="n">
        <v>0.0462054606451371</v>
      </c>
      <c r="Q75" s="7" t="s">
        <v>40</v>
      </c>
      <c r="R75" s="8" t="n">
        <v>6996.0309403765</v>
      </c>
      <c r="S75" s="11" t="n">
        <v>0.884354815653148</v>
      </c>
    </row>
    <row r="76" customFormat="false" ht="15" hidden="false" customHeight="false" outlineLevel="0" collapsed="false">
      <c r="A76" s="2" t="s">
        <v>119</v>
      </c>
      <c r="B76" s="2" t="s">
        <v>20</v>
      </c>
      <c r="C76" s="3" t="n">
        <v>3.17001141356616</v>
      </c>
      <c r="D76" s="4" t="n">
        <v>904</v>
      </c>
      <c r="E76" s="3" t="n">
        <v>5709.94529596929</v>
      </c>
      <c r="F76" s="4" t="n">
        <v>41</v>
      </c>
      <c r="G76" s="4" t="n">
        <v>1</v>
      </c>
      <c r="H76" s="2" t="s">
        <v>44</v>
      </c>
      <c r="I76" s="2" t="s">
        <v>42</v>
      </c>
      <c r="J76" s="2" t="s">
        <v>29</v>
      </c>
      <c r="K76" s="2" t="s">
        <v>38</v>
      </c>
      <c r="L76" s="2" t="s">
        <v>39</v>
      </c>
      <c r="M76" s="3" t="n">
        <v>5.23765465003745</v>
      </c>
      <c r="N76" s="3" t="n">
        <v>341.552656783223</v>
      </c>
      <c r="O76" s="3" t="n">
        <v>80.5808521564478</v>
      </c>
      <c r="P76" s="5" t="n">
        <v>0.00396612724109935</v>
      </c>
      <c r="Q76" s="2" t="s">
        <v>40</v>
      </c>
      <c r="R76" s="3" t="n">
        <v>5282.57413237958</v>
      </c>
      <c r="S76" s="6" t="n">
        <v>0.925153194744021</v>
      </c>
    </row>
    <row r="77" customFormat="false" ht="15" hidden="false" customHeight="false" outlineLevel="0" collapsed="false">
      <c r="A77" s="7" t="s">
        <v>120</v>
      </c>
      <c r="B77" s="7" t="s">
        <v>28</v>
      </c>
      <c r="C77" s="8" t="n">
        <v>92.9968842339707</v>
      </c>
      <c r="D77" s="9" t="n">
        <v>106</v>
      </c>
      <c r="E77" s="8" t="n">
        <v>1889.07358977934</v>
      </c>
      <c r="F77" s="9" t="n">
        <v>16</v>
      </c>
      <c r="G77" s="9" t="n">
        <v>25</v>
      </c>
      <c r="H77" s="7" t="s">
        <v>31</v>
      </c>
      <c r="I77" s="7" t="s">
        <v>53</v>
      </c>
      <c r="J77" s="7" t="s">
        <v>37</v>
      </c>
      <c r="K77" s="7" t="s">
        <v>32</v>
      </c>
      <c r="L77" s="7" t="s">
        <v>33</v>
      </c>
      <c r="M77" s="8" t="n">
        <v>2.47389776104546</v>
      </c>
      <c r="N77" s="8" t="n">
        <v>873.129648017651</v>
      </c>
      <c r="O77" s="8" t="n">
        <v>48.0647826400066</v>
      </c>
      <c r="P77" s="10" t="n">
        <v>0.0203006908866875</v>
      </c>
      <c r="Q77" s="7" t="s">
        <v>55</v>
      </c>
      <c r="R77" s="8" t="n">
        <v>965.405261360632</v>
      </c>
      <c r="S77" s="11" t="n">
        <v>0.51104693146094</v>
      </c>
    </row>
    <row r="78" customFormat="false" ht="15" hidden="false" customHeight="false" outlineLevel="0" collapsed="false">
      <c r="A78" s="2" t="s">
        <v>121</v>
      </c>
      <c r="B78" s="2" t="s">
        <v>20</v>
      </c>
      <c r="C78" s="3" t="n">
        <v>69.1087995474303</v>
      </c>
      <c r="D78" s="4" t="n">
        <v>241</v>
      </c>
      <c r="E78" s="3" t="n">
        <v>5328.37598429776</v>
      </c>
      <c r="F78" s="4" t="n">
        <v>38</v>
      </c>
      <c r="G78" s="4" t="n">
        <v>25</v>
      </c>
      <c r="H78" s="2" t="s">
        <v>52</v>
      </c>
      <c r="I78" s="2" t="s">
        <v>45</v>
      </c>
      <c r="J78" s="2" t="s">
        <v>29</v>
      </c>
      <c r="K78" s="2" t="s">
        <v>38</v>
      </c>
      <c r="L78" s="2" t="s">
        <v>39</v>
      </c>
      <c r="M78" s="3" t="n">
        <v>7.05453833683693</v>
      </c>
      <c r="N78" s="3" t="n">
        <v>997.413450133195</v>
      </c>
      <c r="O78" s="3" t="n">
        <v>64.3235977956002</v>
      </c>
      <c r="P78" s="5" t="n">
        <v>0.0218003745158222</v>
      </c>
      <c r="Q78" s="2" t="s">
        <v>26</v>
      </c>
      <c r="R78" s="3" t="n">
        <v>4259.58439803213</v>
      </c>
      <c r="S78" s="6" t="n">
        <v>0.799415133351088</v>
      </c>
    </row>
    <row r="79" customFormat="false" ht="15" hidden="false" customHeight="false" outlineLevel="0" collapsed="false">
      <c r="A79" s="7" t="s">
        <v>122</v>
      </c>
      <c r="B79" s="7" t="s">
        <v>20</v>
      </c>
      <c r="C79" s="8" t="n">
        <v>57.4497429589715</v>
      </c>
      <c r="D79" s="9" t="n">
        <v>359</v>
      </c>
      <c r="E79" s="8" t="n">
        <v>2483.7601775428</v>
      </c>
      <c r="F79" s="9" t="n">
        <v>96</v>
      </c>
      <c r="G79" s="9" t="n">
        <v>26</v>
      </c>
      <c r="H79" s="7" t="s">
        <v>31</v>
      </c>
      <c r="I79" s="7" t="s">
        <v>36</v>
      </c>
      <c r="J79" s="7" t="s">
        <v>23</v>
      </c>
      <c r="K79" s="7" t="s">
        <v>24</v>
      </c>
      <c r="L79" s="7" t="s">
        <v>25</v>
      </c>
      <c r="M79" s="8" t="n">
        <v>6.7809466256179</v>
      </c>
      <c r="N79" s="8" t="n">
        <v>852.56809891985</v>
      </c>
      <c r="O79" s="8" t="n">
        <v>42.9524447489918</v>
      </c>
      <c r="P79" s="10" t="n">
        <v>0.0305514181830755</v>
      </c>
      <c r="Q79" s="7" t="s">
        <v>55</v>
      </c>
      <c r="R79" s="8" t="n">
        <v>1581.45868724834</v>
      </c>
      <c r="S79" s="11" t="n">
        <v>0.636719559942734</v>
      </c>
    </row>
    <row r="80" customFormat="false" ht="15" hidden="false" customHeight="false" outlineLevel="0" collapsed="false">
      <c r="A80" s="2" t="s">
        <v>123</v>
      </c>
      <c r="B80" s="2" t="s">
        <v>20</v>
      </c>
      <c r="C80" s="3" t="n">
        <v>6.30688317611192</v>
      </c>
      <c r="D80" s="4" t="n">
        <v>946</v>
      </c>
      <c r="E80" s="3" t="n">
        <v>1292.45841793776</v>
      </c>
      <c r="F80" s="4" t="n">
        <v>5</v>
      </c>
      <c r="G80" s="4" t="n">
        <v>25</v>
      </c>
      <c r="H80" s="2" t="s">
        <v>35</v>
      </c>
      <c r="I80" s="2" t="s">
        <v>22</v>
      </c>
      <c r="J80" s="2" t="s">
        <v>23</v>
      </c>
      <c r="K80" s="2" t="s">
        <v>47</v>
      </c>
      <c r="L80" s="2" t="s">
        <v>33</v>
      </c>
      <c r="M80" s="3" t="n">
        <v>8.46704977086199</v>
      </c>
      <c r="N80" s="3" t="n">
        <v>323.592203431322</v>
      </c>
      <c r="O80" s="3" t="n">
        <v>71.1265147204034</v>
      </c>
      <c r="P80" s="5" t="n">
        <v>0.0409688133247045</v>
      </c>
      <c r="Q80" s="2" t="s">
        <v>26</v>
      </c>
      <c r="R80" s="3" t="n">
        <v>889.272650015169</v>
      </c>
      <c r="S80" s="6" t="n">
        <v>0.688047396862555</v>
      </c>
    </row>
    <row r="81" customFormat="false" ht="15" hidden="false" customHeight="false" outlineLevel="0" collapsed="false">
      <c r="A81" s="7" t="s">
        <v>124</v>
      </c>
      <c r="B81" s="7" t="s">
        <v>20</v>
      </c>
      <c r="C81" s="8" t="n">
        <v>57.0570312211032</v>
      </c>
      <c r="D81" s="9" t="n">
        <v>198</v>
      </c>
      <c r="E81" s="8" t="n">
        <v>7888.72326842708</v>
      </c>
      <c r="F81" s="9" t="n">
        <v>31</v>
      </c>
      <c r="G81" s="9" t="n">
        <v>5</v>
      </c>
      <c r="H81" s="7" t="s">
        <v>21</v>
      </c>
      <c r="I81" s="7" t="s">
        <v>45</v>
      </c>
      <c r="J81" s="7" t="s">
        <v>23</v>
      </c>
      <c r="K81" s="7" t="s">
        <v>32</v>
      </c>
      <c r="L81" s="7" t="s">
        <v>33</v>
      </c>
      <c r="M81" s="8" t="n">
        <v>6.49632536429504</v>
      </c>
      <c r="N81" s="8" t="n">
        <v>351.504219335039</v>
      </c>
      <c r="O81" s="8" t="n">
        <v>57.8709029240363</v>
      </c>
      <c r="P81" s="10" t="n">
        <v>0.00165871627480608</v>
      </c>
      <c r="Q81" s="7" t="s">
        <v>26</v>
      </c>
      <c r="R81" s="8" t="n">
        <v>7472.85182080371</v>
      </c>
      <c r="S81" s="11" t="n">
        <v>0.94728279425293</v>
      </c>
    </row>
    <row r="82" customFormat="false" ht="15" hidden="false" customHeight="false" outlineLevel="0" collapsed="false">
      <c r="A82" s="2" t="s">
        <v>125</v>
      </c>
      <c r="B82" s="2" t="s">
        <v>28</v>
      </c>
      <c r="C82" s="3" t="n">
        <v>91.1283183504443</v>
      </c>
      <c r="D82" s="4" t="n">
        <v>872</v>
      </c>
      <c r="E82" s="3" t="n">
        <v>8651.67268298207</v>
      </c>
      <c r="F82" s="4" t="n">
        <v>39</v>
      </c>
      <c r="G82" s="4" t="n">
        <v>8</v>
      </c>
      <c r="H82" s="2" t="s">
        <v>21</v>
      </c>
      <c r="I82" s="2" t="s">
        <v>53</v>
      </c>
      <c r="J82" s="2" t="s">
        <v>37</v>
      </c>
      <c r="K82" s="2" t="s">
        <v>47</v>
      </c>
      <c r="L82" s="2" t="s">
        <v>25</v>
      </c>
      <c r="M82" s="3" t="n">
        <v>2.83318467941898</v>
      </c>
      <c r="N82" s="3" t="n">
        <v>787.779850494345</v>
      </c>
      <c r="O82" s="3" t="n">
        <v>76.96122802382</v>
      </c>
      <c r="P82" s="5" t="n">
        <v>0.0284966219850533</v>
      </c>
      <c r="Q82" s="2" t="s">
        <v>40</v>
      </c>
      <c r="R82" s="3" t="n">
        <v>7784.09841978448</v>
      </c>
      <c r="S82" s="6" t="n">
        <v>0.899721788492518</v>
      </c>
    </row>
    <row r="83" customFormat="false" ht="15" hidden="false" customHeight="false" outlineLevel="0" collapsed="false">
      <c r="A83" s="7" t="s">
        <v>126</v>
      </c>
      <c r="B83" s="7" t="s">
        <v>20</v>
      </c>
      <c r="C83" s="8" t="n">
        <v>72.8192069303182</v>
      </c>
      <c r="D83" s="9" t="n">
        <v>774</v>
      </c>
      <c r="E83" s="8" t="n">
        <v>4384.41340004586</v>
      </c>
      <c r="F83" s="9" t="n">
        <v>48</v>
      </c>
      <c r="G83" s="9" t="n">
        <v>28</v>
      </c>
      <c r="H83" s="7" t="s">
        <v>21</v>
      </c>
      <c r="I83" s="7" t="s">
        <v>42</v>
      </c>
      <c r="J83" s="7" t="s">
        <v>23</v>
      </c>
      <c r="K83" s="7" t="s">
        <v>38</v>
      </c>
      <c r="L83" s="7" t="s">
        <v>25</v>
      </c>
      <c r="M83" s="8" t="n">
        <v>4.06627750151204</v>
      </c>
      <c r="N83" s="8" t="n">
        <v>276.778335946799</v>
      </c>
      <c r="O83" s="8" t="n">
        <v>19.7895929419036</v>
      </c>
      <c r="P83" s="10" t="n">
        <v>0.0254754712154871</v>
      </c>
      <c r="Q83" s="7" t="s">
        <v>26</v>
      </c>
      <c r="R83" s="8" t="n">
        <v>4083.77919365565</v>
      </c>
      <c r="S83" s="11" t="n">
        <v>0.931431145067874</v>
      </c>
    </row>
    <row r="84" customFormat="false" ht="15" hidden="false" customHeight="false" outlineLevel="0" collapsed="false">
      <c r="A84" s="2" t="s">
        <v>127</v>
      </c>
      <c r="B84" s="2" t="s">
        <v>28</v>
      </c>
      <c r="C84" s="3" t="n">
        <v>17.0349307394679</v>
      </c>
      <c r="D84" s="4" t="n">
        <v>336</v>
      </c>
      <c r="E84" s="3" t="n">
        <v>2943.38186760945</v>
      </c>
      <c r="F84" s="4" t="n">
        <v>42</v>
      </c>
      <c r="G84" s="4" t="n">
        <v>6</v>
      </c>
      <c r="H84" s="2" t="s">
        <v>52</v>
      </c>
      <c r="I84" s="2" t="s">
        <v>22</v>
      </c>
      <c r="J84" s="2" t="s">
        <v>29</v>
      </c>
      <c r="K84" s="2" t="s">
        <v>24</v>
      </c>
      <c r="L84" s="2" t="s">
        <v>33</v>
      </c>
      <c r="M84" s="3" t="n">
        <v>4.70818187354193</v>
      </c>
      <c r="N84" s="3" t="n">
        <v>589.978555628041</v>
      </c>
      <c r="O84" s="3" t="n">
        <v>4.46527843494324</v>
      </c>
      <c r="P84" s="5" t="n">
        <v>0.0413787704862236</v>
      </c>
      <c r="Q84" s="2" t="s">
        <v>26</v>
      </c>
      <c r="R84" s="3" t="n">
        <v>2344.22985167293</v>
      </c>
      <c r="S84" s="6" t="n">
        <v>0.796440950279026</v>
      </c>
    </row>
    <row r="85" customFormat="false" ht="15" hidden="false" customHeight="false" outlineLevel="0" collapsed="false">
      <c r="A85" s="7" t="s">
        <v>128</v>
      </c>
      <c r="B85" s="7" t="s">
        <v>20</v>
      </c>
      <c r="C85" s="8" t="n">
        <v>68.9112462116063</v>
      </c>
      <c r="D85" s="9" t="n">
        <v>663</v>
      </c>
      <c r="E85" s="8" t="n">
        <v>2411.75463211049</v>
      </c>
      <c r="F85" s="9" t="n">
        <v>65</v>
      </c>
      <c r="G85" s="9" t="n">
        <v>20</v>
      </c>
      <c r="H85" s="7" t="s">
        <v>31</v>
      </c>
      <c r="I85" s="7" t="s">
        <v>45</v>
      </c>
      <c r="J85" s="7" t="s">
        <v>23</v>
      </c>
      <c r="K85" s="7" t="s">
        <v>24</v>
      </c>
      <c r="L85" s="7" t="s">
        <v>39</v>
      </c>
      <c r="M85" s="8" t="n">
        <v>4.94983957799695</v>
      </c>
      <c r="N85" s="8" t="n">
        <v>682.971018226093</v>
      </c>
      <c r="O85" s="8" t="n">
        <v>97.730593800533</v>
      </c>
      <c r="P85" s="10" t="n">
        <v>0.00773006134067248</v>
      </c>
      <c r="Q85" s="7" t="s">
        <v>40</v>
      </c>
      <c r="R85" s="8" t="n">
        <v>1626.10318050587</v>
      </c>
      <c r="S85" s="11" t="n">
        <v>0.674240720368344</v>
      </c>
    </row>
    <row r="86" customFormat="false" ht="15" hidden="false" customHeight="false" outlineLevel="0" collapsed="false">
      <c r="A86" s="2" t="s">
        <v>129</v>
      </c>
      <c r="B86" s="2" t="s">
        <v>20</v>
      </c>
      <c r="C86" s="3" t="n">
        <v>89.1043672921023</v>
      </c>
      <c r="D86" s="4" t="n">
        <v>618</v>
      </c>
      <c r="E86" s="3" t="n">
        <v>2048.29009984871</v>
      </c>
      <c r="F86" s="4" t="n">
        <v>73</v>
      </c>
      <c r="G86" s="4" t="n">
        <v>24</v>
      </c>
      <c r="H86" s="2" t="s">
        <v>35</v>
      </c>
      <c r="I86" s="2" t="s">
        <v>53</v>
      </c>
      <c r="J86" s="2" t="s">
        <v>29</v>
      </c>
      <c r="K86" s="2" t="s">
        <v>32</v>
      </c>
      <c r="L86" s="2" t="s">
        <v>25</v>
      </c>
      <c r="M86" s="3" t="n">
        <v>8.38161562492263</v>
      </c>
      <c r="N86" s="3" t="n">
        <v>465.457005963688</v>
      </c>
      <c r="O86" s="3" t="n">
        <v>33.8086365132091</v>
      </c>
      <c r="P86" s="5" t="n">
        <v>0.0484345657711804</v>
      </c>
      <c r="Q86" s="2" t="s">
        <v>55</v>
      </c>
      <c r="R86" s="3" t="n">
        <v>1540.64284174689</v>
      </c>
      <c r="S86" s="6" t="n">
        <v>0.752160468803069</v>
      </c>
    </row>
    <row r="87" customFormat="false" ht="15" hidden="false" customHeight="false" outlineLevel="0" collapsed="false">
      <c r="A87" s="7" t="s">
        <v>130</v>
      </c>
      <c r="B87" s="7" t="s">
        <v>49</v>
      </c>
      <c r="C87" s="8" t="n">
        <v>76.9629944151939</v>
      </c>
      <c r="D87" s="9" t="n">
        <v>25</v>
      </c>
      <c r="E87" s="8" t="n">
        <v>8684.61305925386</v>
      </c>
      <c r="F87" s="9" t="n">
        <v>15</v>
      </c>
      <c r="G87" s="9" t="n">
        <v>4</v>
      </c>
      <c r="H87" s="7" t="s">
        <v>35</v>
      </c>
      <c r="I87" s="7" t="s">
        <v>53</v>
      </c>
      <c r="J87" s="7" t="s">
        <v>37</v>
      </c>
      <c r="K87" s="7" t="s">
        <v>24</v>
      </c>
      <c r="L87" s="7" t="s">
        <v>25</v>
      </c>
      <c r="M87" s="8" t="n">
        <v>8.24916870487173</v>
      </c>
      <c r="N87" s="8" t="n">
        <v>842.686830004642</v>
      </c>
      <c r="O87" s="8" t="n">
        <v>69.9293455186723</v>
      </c>
      <c r="P87" s="10" t="n">
        <v>0.0137442899974576</v>
      </c>
      <c r="Q87" s="7" t="s">
        <v>40</v>
      </c>
      <c r="R87" s="8" t="n">
        <v>7763.74771502567</v>
      </c>
      <c r="S87" s="11" t="n">
        <v>0.893965875284799</v>
      </c>
    </row>
    <row r="88" customFormat="false" ht="15" hidden="false" customHeight="false" outlineLevel="0" collapsed="false">
      <c r="A88" s="2" t="s">
        <v>131</v>
      </c>
      <c r="B88" s="2" t="s">
        <v>28</v>
      </c>
      <c r="C88" s="3" t="n">
        <v>19.9981769404042</v>
      </c>
      <c r="D88" s="4" t="n">
        <v>223</v>
      </c>
      <c r="E88" s="3" t="n">
        <v>1229.59102856498</v>
      </c>
      <c r="F88" s="4" t="n">
        <v>32</v>
      </c>
      <c r="G88" s="4" t="n">
        <v>4</v>
      </c>
      <c r="H88" s="2" t="s">
        <v>31</v>
      </c>
      <c r="I88" s="2" t="s">
        <v>22</v>
      </c>
      <c r="J88" s="2" t="s">
        <v>23</v>
      </c>
      <c r="K88" s="2" t="s">
        <v>38</v>
      </c>
      <c r="L88" s="2" t="s">
        <v>39</v>
      </c>
      <c r="M88" s="3" t="n">
        <v>1.45430531015355</v>
      </c>
      <c r="N88" s="3" t="n">
        <v>264.254889835867</v>
      </c>
      <c r="O88" s="3" t="n">
        <v>74.6089699951947</v>
      </c>
      <c r="P88" s="5" t="n">
        <v>0.0205151293076625</v>
      </c>
      <c r="Q88" s="2" t="s">
        <v>55</v>
      </c>
      <c r="R88" s="3" t="n">
        <v>889.272863423769</v>
      </c>
      <c r="S88" s="6" t="n">
        <v>0.7232265385521</v>
      </c>
    </row>
    <row r="89" customFormat="false" ht="15" hidden="false" customHeight="false" outlineLevel="0" collapsed="false">
      <c r="A89" s="7" t="s">
        <v>132</v>
      </c>
      <c r="B89" s="7" t="s">
        <v>20</v>
      </c>
      <c r="C89" s="8" t="n">
        <v>80.4140366503557</v>
      </c>
      <c r="D89" s="9" t="n">
        <v>79</v>
      </c>
      <c r="E89" s="8" t="n">
        <v>5133.84670108669</v>
      </c>
      <c r="F89" s="9" t="n">
        <v>5</v>
      </c>
      <c r="G89" s="9" t="n">
        <v>27</v>
      </c>
      <c r="H89" s="7" t="s">
        <v>21</v>
      </c>
      <c r="I89" s="7" t="s">
        <v>53</v>
      </c>
      <c r="J89" s="7" t="s">
        <v>29</v>
      </c>
      <c r="K89" s="7" t="s">
        <v>47</v>
      </c>
      <c r="L89" s="7" t="s">
        <v>25</v>
      </c>
      <c r="M89" s="8" t="n">
        <v>6.57580379754854</v>
      </c>
      <c r="N89" s="8" t="n">
        <v>879.359217734924</v>
      </c>
      <c r="O89" s="8" t="n">
        <v>28.6969968241432</v>
      </c>
      <c r="P89" s="10" t="n">
        <v>0.0369373778783928</v>
      </c>
      <c r="Q89" s="7" t="s">
        <v>40</v>
      </c>
      <c r="R89" s="8" t="n">
        <v>4219.21468273008</v>
      </c>
      <c r="S89" s="11" t="n">
        <v>0.82184274840871</v>
      </c>
    </row>
    <row r="90" customFormat="false" ht="15" hidden="false" customHeight="false" outlineLevel="0" collapsed="false">
      <c r="A90" s="2" t="s">
        <v>133</v>
      </c>
      <c r="B90" s="2" t="s">
        <v>49</v>
      </c>
      <c r="C90" s="3" t="n">
        <v>75.270406975725</v>
      </c>
      <c r="D90" s="4" t="n">
        <v>737</v>
      </c>
      <c r="E90" s="3" t="n">
        <v>9444.74203306298</v>
      </c>
      <c r="F90" s="4" t="n">
        <v>60</v>
      </c>
      <c r="G90" s="4" t="n">
        <v>21</v>
      </c>
      <c r="H90" s="2" t="s">
        <v>52</v>
      </c>
      <c r="I90" s="2" t="s">
        <v>22</v>
      </c>
      <c r="J90" s="2" t="s">
        <v>29</v>
      </c>
      <c r="K90" s="2" t="s">
        <v>47</v>
      </c>
      <c r="L90" s="2" t="s">
        <v>39</v>
      </c>
      <c r="M90" s="3" t="n">
        <v>3.80125313293108</v>
      </c>
      <c r="N90" s="3" t="n">
        <v>103.916247960705</v>
      </c>
      <c r="O90" s="3" t="n">
        <v>68.1849190570412</v>
      </c>
      <c r="P90" s="5" t="n">
        <v>0.00722204401882931</v>
      </c>
      <c r="Q90" s="2" t="s">
        <v>26</v>
      </c>
      <c r="R90" s="3" t="n">
        <v>9268.8396129123</v>
      </c>
      <c r="S90" s="6" t="n">
        <v>0.981375624708976</v>
      </c>
    </row>
    <row r="91" customFormat="false" ht="15" hidden="false" customHeight="false" outlineLevel="0" collapsed="false">
      <c r="A91" s="7" t="s">
        <v>134</v>
      </c>
      <c r="B91" s="7" t="s">
        <v>49</v>
      </c>
      <c r="C91" s="8" t="n">
        <v>97.7600855819387</v>
      </c>
      <c r="D91" s="9" t="n">
        <v>134</v>
      </c>
      <c r="E91" s="8" t="n">
        <v>5924.68256685323</v>
      </c>
      <c r="F91" s="9" t="n">
        <v>90</v>
      </c>
      <c r="G91" s="9" t="n">
        <v>23</v>
      </c>
      <c r="H91" s="7" t="s">
        <v>31</v>
      </c>
      <c r="I91" s="7" t="s">
        <v>36</v>
      </c>
      <c r="J91" s="7" t="s">
        <v>23</v>
      </c>
      <c r="K91" s="7" t="s">
        <v>38</v>
      </c>
      <c r="L91" s="7" t="s">
        <v>25</v>
      </c>
      <c r="M91" s="8" t="n">
        <v>9.92981624527726</v>
      </c>
      <c r="N91" s="8" t="n">
        <v>517.499973929061</v>
      </c>
      <c r="O91" s="8" t="n">
        <v>46.6038733816445</v>
      </c>
      <c r="P91" s="10" t="n">
        <v>0.0190766573395907</v>
      </c>
      <c r="Q91" s="7" t="s">
        <v>26</v>
      </c>
      <c r="R91" s="8" t="n">
        <v>5350.64890329725</v>
      </c>
      <c r="S91" s="11" t="n">
        <v>0.903111490433678</v>
      </c>
    </row>
    <row r="92" customFormat="false" ht="15" hidden="false" customHeight="false" outlineLevel="0" collapsed="false">
      <c r="A92" s="2" t="s">
        <v>135</v>
      </c>
      <c r="B92" s="2" t="s">
        <v>28</v>
      </c>
      <c r="C92" s="3" t="n">
        <v>13.8819135013591</v>
      </c>
      <c r="D92" s="4" t="n">
        <v>320</v>
      </c>
      <c r="E92" s="3" t="n">
        <v>9592.63357028031</v>
      </c>
      <c r="F92" s="4" t="n">
        <v>66</v>
      </c>
      <c r="G92" s="4" t="n">
        <v>8</v>
      </c>
      <c r="H92" s="2" t="s">
        <v>21</v>
      </c>
      <c r="I92" s="2" t="s">
        <v>45</v>
      </c>
      <c r="J92" s="2" t="s">
        <v>23</v>
      </c>
      <c r="K92" s="2" t="s">
        <v>38</v>
      </c>
      <c r="L92" s="2" t="s">
        <v>25</v>
      </c>
      <c r="M92" s="3" t="n">
        <v>7.67443070811269</v>
      </c>
      <c r="N92" s="3" t="n">
        <v>990.078472505811</v>
      </c>
      <c r="O92" s="3" t="n">
        <v>85.675963335798</v>
      </c>
      <c r="P92" s="5" t="n">
        <v>0.0121938222440139</v>
      </c>
      <c r="Q92" s="2" t="s">
        <v>55</v>
      </c>
      <c r="R92" s="3" t="n">
        <v>8509.20470373059</v>
      </c>
      <c r="S92" s="6" t="n">
        <v>0.88705616047856</v>
      </c>
    </row>
    <row r="93" customFormat="false" ht="15" hidden="false" customHeight="false" outlineLevel="0" collapsed="false">
      <c r="A93" s="7" t="s">
        <v>136</v>
      </c>
      <c r="B93" s="7" t="s">
        <v>49</v>
      </c>
      <c r="C93" s="8" t="n">
        <v>62.1119654639618</v>
      </c>
      <c r="D93" s="9" t="n">
        <v>916</v>
      </c>
      <c r="E93" s="8" t="n">
        <v>1935.2067935076</v>
      </c>
      <c r="F93" s="9" t="n">
        <v>98</v>
      </c>
      <c r="G93" s="9" t="n">
        <v>5</v>
      </c>
      <c r="H93" s="7" t="s">
        <v>44</v>
      </c>
      <c r="I93" s="7" t="s">
        <v>42</v>
      </c>
      <c r="J93" s="7" t="s">
        <v>23</v>
      </c>
      <c r="K93" s="7" t="s">
        <v>38</v>
      </c>
      <c r="L93" s="7" t="s">
        <v>25</v>
      </c>
      <c r="M93" s="8" t="n">
        <v>7.47151408440115</v>
      </c>
      <c r="N93" s="8" t="n">
        <v>996.778314950624</v>
      </c>
      <c r="O93" s="8" t="n">
        <v>39.77288250234</v>
      </c>
      <c r="P93" s="10" t="n">
        <v>0.00626001858209395</v>
      </c>
      <c r="Q93" s="7" t="s">
        <v>26</v>
      </c>
      <c r="R93" s="8" t="n">
        <v>891.184081970234</v>
      </c>
      <c r="S93" s="11" t="n">
        <v>0.460511034252286</v>
      </c>
    </row>
    <row r="94" customFormat="false" ht="15" hidden="false" customHeight="false" outlineLevel="0" collapsed="false">
      <c r="A94" s="2" t="s">
        <v>137</v>
      </c>
      <c r="B94" s="2" t="s">
        <v>49</v>
      </c>
      <c r="C94" s="3" t="n">
        <v>47.7142330758202</v>
      </c>
      <c r="D94" s="4" t="n">
        <v>276</v>
      </c>
      <c r="E94" s="3" t="n">
        <v>2100.12975462594</v>
      </c>
      <c r="F94" s="4" t="n">
        <v>90</v>
      </c>
      <c r="G94" s="4" t="n">
        <v>4</v>
      </c>
      <c r="H94" s="2" t="s">
        <v>52</v>
      </c>
      <c r="I94" s="2" t="s">
        <v>22</v>
      </c>
      <c r="J94" s="2" t="s">
        <v>23</v>
      </c>
      <c r="K94" s="2" t="s">
        <v>38</v>
      </c>
      <c r="L94" s="2" t="s">
        <v>25</v>
      </c>
      <c r="M94" s="3" t="n">
        <v>4.4695000261236</v>
      </c>
      <c r="N94" s="3" t="n">
        <v>230.092782536763</v>
      </c>
      <c r="O94" s="3" t="n">
        <v>62.6126903956143</v>
      </c>
      <c r="P94" s="5" t="n">
        <v>0.00333431825224739</v>
      </c>
      <c r="Q94" s="2" t="s">
        <v>55</v>
      </c>
      <c r="R94" s="3" t="n">
        <v>1802.95478166744</v>
      </c>
      <c r="S94" s="6" t="n">
        <v>0.858496851299823</v>
      </c>
    </row>
    <row r="95" customFormat="false" ht="15" hidden="false" customHeight="false" outlineLevel="0" collapsed="false">
      <c r="A95" s="7" t="s">
        <v>138</v>
      </c>
      <c r="B95" s="7" t="s">
        <v>20</v>
      </c>
      <c r="C95" s="8" t="n">
        <v>69.2908310029055</v>
      </c>
      <c r="D95" s="9" t="n">
        <v>114</v>
      </c>
      <c r="E95" s="8" t="n">
        <v>4531.40213369191</v>
      </c>
      <c r="F95" s="9" t="n">
        <v>63</v>
      </c>
      <c r="G95" s="9" t="n">
        <v>21</v>
      </c>
      <c r="H95" s="7" t="s">
        <v>44</v>
      </c>
      <c r="I95" s="7" t="s">
        <v>53</v>
      </c>
      <c r="J95" s="7" t="s">
        <v>37</v>
      </c>
      <c r="K95" s="7" t="s">
        <v>32</v>
      </c>
      <c r="L95" s="7" t="s">
        <v>39</v>
      </c>
      <c r="M95" s="8" t="n">
        <v>7.00643205900439</v>
      </c>
      <c r="N95" s="8" t="n">
        <v>823.523845888156</v>
      </c>
      <c r="O95" s="8" t="n">
        <v>35.6336523433439</v>
      </c>
      <c r="P95" s="10" t="n">
        <v>0.0416578179542415</v>
      </c>
      <c r="Q95" s="7" t="s">
        <v>40</v>
      </c>
      <c r="R95" s="8" t="n">
        <v>3665.23820340141</v>
      </c>
      <c r="S95" s="11" t="n">
        <v>0.808852998534296</v>
      </c>
    </row>
    <row r="96" customFormat="false" ht="15" hidden="false" customHeight="false" outlineLevel="0" collapsed="false">
      <c r="A96" s="2" t="s">
        <v>139</v>
      </c>
      <c r="B96" s="2" t="s">
        <v>49</v>
      </c>
      <c r="C96" s="3" t="n">
        <v>3.03768872463141</v>
      </c>
      <c r="D96" s="4" t="n">
        <v>987</v>
      </c>
      <c r="E96" s="3" t="n">
        <v>7888.35654666187</v>
      </c>
      <c r="F96" s="4" t="n">
        <v>77</v>
      </c>
      <c r="G96" s="4" t="n">
        <v>12</v>
      </c>
      <c r="H96" s="2" t="s">
        <v>52</v>
      </c>
      <c r="I96" s="2" t="s">
        <v>42</v>
      </c>
      <c r="J96" s="2" t="s">
        <v>23</v>
      </c>
      <c r="K96" s="2" t="s">
        <v>38</v>
      </c>
      <c r="L96" s="2" t="s">
        <v>25</v>
      </c>
      <c r="M96" s="3" t="n">
        <v>6.94294594203258</v>
      </c>
      <c r="N96" s="3" t="n">
        <v>846.665256986695</v>
      </c>
      <c r="O96" s="3" t="n">
        <v>60.3873786148621</v>
      </c>
      <c r="P96" s="5" t="n">
        <v>0.0146360749847278</v>
      </c>
      <c r="Q96" s="2" t="s">
        <v>55</v>
      </c>
      <c r="R96" s="3" t="n">
        <v>6974.36096511828</v>
      </c>
      <c r="S96" s="6" t="n">
        <v>0.884133586490792</v>
      </c>
    </row>
    <row r="97" customFormat="false" ht="15" hidden="false" customHeight="false" outlineLevel="0" collapsed="false">
      <c r="A97" s="7" t="s">
        <v>140</v>
      </c>
      <c r="B97" s="7" t="s">
        <v>20</v>
      </c>
      <c r="C97" s="8" t="n">
        <v>77.9039272194478</v>
      </c>
      <c r="D97" s="9" t="n">
        <v>672</v>
      </c>
      <c r="E97" s="8" t="n">
        <v>7386.36394404866</v>
      </c>
      <c r="F97" s="9" t="n">
        <v>15</v>
      </c>
      <c r="G97" s="9" t="n">
        <v>18</v>
      </c>
      <c r="H97" s="7" t="s">
        <v>44</v>
      </c>
      <c r="I97" s="7" t="s">
        <v>22</v>
      </c>
      <c r="J97" s="7" t="s">
        <v>23</v>
      </c>
      <c r="K97" s="7" t="s">
        <v>32</v>
      </c>
      <c r="L97" s="7" t="s">
        <v>39</v>
      </c>
      <c r="M97" s="8" t="n">
        <v>8.63033886960275</v>
      </c>
      <c r="N97" s="8" t="n">
        <v>778.864241376648</v>
      </c>
      <c r="O97" s="8" t="n">
        <v>58.89068576859</v>
      </c>
      <c r="P97" s="10" t="n">
        <v>0.0121088212958507</v>
      </c>
      <c r="Q97" s="7" t="s">
        <v>26</v>
      </c>
      <c r="R97" s="8" t="n">
        <v>6539.97867803382</v>
      </c>
      <c r="S97" s="11" t="n">
        <v>0.885412461066613</v>
      </c>
    </row>
    <row r="98" customFormat="false" ht="15" hidden="false" customHeight="false" outlineLevel="0" collapsed="false">
      <c r="A98" s="2" t="s">
        <v>141</v>
      </c>
      <c r="B98" s="2" t="s">
        <v>49</v>
      </c>
      <c r="C98" s="3" t="n">
        <v>24.4231314203734</v>
      </c>
      <c r="D98" s="4" t="n">
        <v>324</v>
      </c>
      <c r="E98" s="3" t="n">
        <v>7698.42476563212</v>
      </c>
      <c r="F98" s="4" t="n">
        <v>67</v>
      </c>
      <c r="G98" s="4" t="n">
        <v>28</v>
      </c>
      <c r="H98" s="2" t="s">
        <v>21</v>
      </c>
      <c r="I98" s="2" t="s">
        <v>22</v>
      </c>
      <c r="J98" s="2" t="s">
        <v>37</v>
      </c>
      <c r="K98" s="2" t="s">
        <v>24</v>
      </c>
      <c r="L98" s="2" t="s">
        <v>39</v>
      </c>
      <c r="M98" s="3" t="n">
        <v>5.35287804399681</v>
      </c>
      <c r="N98" s="3" t="n">
        <v>188.742141149057</v>
      </c>
      <c r="O98" s="3" t="n">
        <v>17.8037563313913</v>
      </c>
      <c r="P98" s="5" t="n">
        <v>0.0387204768148213</v>
      </c>
      <c r="Q98" s="2" t="s">
        <v>26</v>
      </c>
      <c r="R98" s="3" t="n">
        <v>7486.52599010767</v>
      </c>
      <c r="S98" s="6" t="n">
        <v>0.972475047561623</v>
      </c>
    </row>
    <row r="99" customFormat="false" ht="15" hidden="false" customHeight="false" outlineLevel="0" collapsed="false">
      <c r="A99" s="7" t="s">
        <v>142</v>
      </c>
      <c r="B99" s="7" t="s">
        <v>20</v>
      </c>
      <c r="C99" s="8" t="n">
        <v>3.52611125914342</v>
      </c>
      <c r="D99" s="9" t="n">
        <v>62</v>
      </c>
      <c r="E99" s="8" t="n">
        <v>4370.91657998454</v>
      </c>
      <c r="F99" s="9" t="n">
        <v>46</v>
      </c>
      <c r="G99" s="9" t="n">
        <v>10</v>
      </c>
      <c r="H99" s="7" t="s">
        <v>44</v>
      </c>
      <c r="I99" s="7" t="s">
        <v>22</v>
      </c>
      <c r="J99" s="7" t="s">
        <v>29</v>
      </c>
      <c r="K99" s="7" t="s">
        <v>24</v>
      </c>
      <c r="L99" s="7" t="s">
        <v>39</v>
      </c>
      <c r="M99" s="8" t="n">
        <v>7.90484561120968</v>
      </c>
      <c r="N99" s="8" t="n">
        <v>540.132422867968</v>
      </c>
      <c r="O99" s="8" t="n">
        <v>65.7651559263675</v>
      </c>
      <c r="P99" s="10" t="n">
        <v>0.0337623783471798</v>
      </c>
      <c r="Q99" s="7" t="s">
        <v>40</v>
      </c>
      <c r="R99" s="8" t="n">
        <v>3757.11415557899</v>
      </c>
      <c r="S99" s="11" t="n">
        <v>0.859571233361833</v>
      </c>
    </row>
    <row r="100" customFormat="false" ht="15" hidden="false" customHeight="false" outlineLevel="0" collapsed="false">
      <c r="A100" s="2" t="s">
        <v>143</v>
      </c>
      <c r="B100" s="2" t="s">
        <v>28</v>
      </c>
      <c r="C100" s="3" t="n">
        <v>19.7546048668786</v>
      </c>
      <c r="D100" s="4" t="n">
        <v>913</v>
      </c>
      <c r="E100" s="3" t="n">
        <v>8525.95255968353</v>
      </c>
      <c r="F100" s="4" t="n">
        <v>53</v>
      </c>
      <c r="G100" s="4" t="n">
        <v>28</v>
      </c>
      <c r="H100" s="2" t="s">
        <v>35</v>
      </c>
      <c r="I100" s="2" t="s">
        <v>53</v>
      </c>
      <c r="J100" s="2" t="s">
        <v>23</v>
      </c>
      <c r="K100" s="2" t="s">
        <v>38</v>
      </c>
      <c r="L100" s="2" t="s">
        <v>39</v>
      </c>
      <c r="M100" s="3" t="n">
        <v>1.40980109513807</v>
      </c>
      <c r="N100" s="3" t="n">
        <v>882.198863547042</v>
      </c>
      <c r="O100" s="3" t="n">
        <v>5.60469086437178</v>
      </c>
      <c r="P100" s="5" t="n">
        <v>0.0290812216935126</v>
      </c>
      <c r="Q100" s="2" t="s">
        <v>26</v>
      </c>
      <c r="R100" s="3" t="n">
        <v>7636.73920417698</v>
      </c>
      <c r="S100" s="6" t="n">
        <v>0.895705101654992</v>
      </c>
    </row>
    <row r="101" customFormat="false" ht="15" hidden="false" customHeight="false" outlineLevel="0" collapsed="false">
      <c r="A101" s="7" t="s">
        <v>144</v>
      </c>
      <c r="B101" s="7" t="s">
        <v>20</v>
      </c>
      <c r="C101" s="8" t="n">
        <v>68.5178326992766</v>
      </c>
      <c r="D101" s="9" t="n">
        <v>627</v>
      </c>
      <c r="E101" s="8" t="n">
        <v>9185.1858291817</v>
      </c>
      <c r="F101" s="9" t="n">
        <v>55</v>
      </c>
      <c r="G101" s="9" t="n">
        <v>29</v>
      </c>
      <c r="H101" s="7" t="s">
        <v>52</v>
      </c>
      <c r="I101" s="7" t="s">
        <v>53</v>
      </c>
      <c r="J101" s="7" t="s">
        <v>23</v>
      </c>
      <c r="K101" s="7" t="s">
        <v>38</v>
      </c>
      <c r="L101" s="7" t="s">
        <v>25</v>
      </c>
      <c r="M101" s="8" t="n">
        <v>1.31102375612062</v>
      </c>
      <c r="N101" s="8" t="n">
        <v>210.743008964246</v>
      </c>
      <c r="O101" s="8" t="n">
        <v>38.072898520626</v>
      </c>
      <c r="P101" s="10" t="n">
        <v>0.00346027290705503</v>
      </c>
      <c r="Q101" s="7" t="s">
        <v>40</v>
      </c>
      <c r="R101" s="8" t="n">
        <v>8935.05889794071</v>
      </c>
      <c r="S101" s="11" t="n">
        <v>0.972768440846746</v>
      </c>
    </row>
  </sheetData>
  <autoFilter ref="A1:S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2" width="16"/>
    <col collapsed="false" customWidth="true" hidden="false" outlineLevel="0" max="2" min="2" style="12" width="8"/>
    <col collapsed="false" customWidth="true" hidden="false" outlineLevel="0" max="3" min="3" style="12" width="16"/>
    <col collapsed="false" customWidth="true" hidden="false" outlineLevel="0" max="4" min="4" style="12" width="20"/>
    <col collapsed="false" customWidth="true" hidden="false" outlineLevel="0" max="5" min="5" style="12" width="17"/>
    <col collapsed="false" customWidth="true" hidden="false" outlineLevel="0" max="7" min="6" style="12" width="7"/>
    <col collapsed="false" customWidth="true" hidden="false" outlineLevel="0" max="8" min="8" style="12" width="9"/>
    <col collapsed="false" customWidth="true" hidden="false" outlineLevel="0" max="9" min="9" style="12" width="12"/>
    <col collapsed="false" customWidth="true" hidden="false" outlineLevel="0" max="10" min="10" style="12" width="20"/>
    <col collapsed="false" customWidth="true" hidden="false" outlineLevel="0" max="11" min="11" style="12" width="15"/>
  </cols>
  <sheetData>
    <row r="1" customFormat="false" ht="33.75" hidden="false" customHeight="true" outlineLevel="0" collapsed="false">
      <c r="A1" s="13" t="s">
        <v>145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customFormat="false" ht="18" hidden="false" customHeight="true" outlineLevel="0" collapsed="false">
      <c r="A2" s="14" t="s">
        <v>146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customFormat="false" ht="21.75" hidden="false" customHeight="true" outlineLevel="0" collapsed="false">
      <c r="A3" s="15" t="s">
        <v>147</v>
      </c>
      <c r="B3" s="15"/>
      <c r="C3" s="15"/>
      <c r="D3" s="15"/>
      <c r="E3" s="15"/>
      <c r="F3" s="15"/>
      <c r="G3" s="15"/>
      <c r="H3" s="15"/>
      <c r="I3" s="15"/>
      <c r="J3" s="15"/>
      <c r="K3" s="15"/>
    </row>
    <row r="4" customFormat="false" ht="31.5" hidden="false" customHeight="true" outlineLevel="0" collapsed="false">
      <c r="A4" s="1" t="s">
        <v>7</v>
      </c>
      <c r="B4" s="1" t="s">
        <v>148</v>
      </c>
      <c r="C4" s="1" t="s">
        <v>149</v>
      </c>
      <c r="D4" s="1" t="s">
        <v>150</v>
      </c>
      <c r="E4" s="1" t="s">
        <v>151</v>
      </c>
      <c r="F4" s="1" t="s">
        <v>55</v>
      </c>
      <c r="G4" s="1" t="s">
        <v>40</v>
      </c>
      <c r="H4" s="1" t="s">
        <v>26</v>
      </c>
      <c r="I4" s="1" t="s">
        <v>152</v>
      </c>
      <c r="J4" s="1" t="s">
        <v>153</v>
      </c>
      <c r="K4" s="1" t="s">
        <v>154</v>
      </c>
    </row>
    <row r="5" customFormat="false" ht="19.5" hidden="false" customHeight="true" outlineLevel="0" collapsed="false">
      <c r="A5" s="4" t="s">
        <v>35</v>
      </c>
      <c r="B5" s="16" t="n">
        <v>18</v>
      </c>
      <c r="C5" s="17" t="n">
        <v>0.026654083441492</v>
      </c>
      <c r="D5" s="18" t="n">
        <v>18.0555555555556</v>
      </c>
      <c r="E5" s="19" t="n">
        <v>44.7682430111895</v>
      </c>
      <c r="F5" s="20" t="n">
        <v>3</v>
      </c>
      <c r="G5" s="21" t="n">
        <v>7</v>
      </c>
      <c r="H5" s="22" t="n">
        <v>8</v>
      </c>
      <c r="I5" s="23" t="n">
        <v>0.166666666666667</v>
      </c>
      <c r="J5" s="19" t="n">
        <v>5.78983153102873</v>
      </c>
      <c r="K5" s="24" t="s">
        <v>155</v>
      </c>
    </row>
    <row r="6" customFormat="false" ht="19.5" hidden="false" customHeight="true" outlineLevel="0" collapsed="false">
      <c r="A6" s="9" t="s">
        <v>21</v>
      </c>
      <c r="B6" s="25" t="n">
        <v>15</v>
      </c>
      <c r="C6" s="26" t="n">
        <v>0.0246578603076447</v>
      </c>
      <c r="D6" s="27" t="n">
        <v>20.1333333333333</v>
      </c>
      <c r="E6" s="28" t="n">
        <v>43.634121313781</v>
      </c>
      <c r="F6" s="29" t="n">
        <v>2</v>
      </c>
      <c r="G6" s="30" t="n">
        <v>3</v>
      </c>
      <c r="H6" s="31" t="n">
        <v>10</v>
      </c>
      <c r="I6" s="32" t="n">
        <v>0.133333333333333</v>
      </c>
      <c r="J6" s="28" t="n">
        <v>4.78877062521948</v>
      </c>
      <c r="K6" s="33" t="s">
        <v>156</v>
      </c>
    </row>
    <row r="7" customFormat="false" ht="19.5" hidden="false" customHeight="true" outlineLevel="0" collapsed="false">
      <c r="A7" s="4" t="s">
        <v>52</v>
      </c>
      <c r="B7" s="16" t="n">
        <v>22</v>
      </c>
      <c r="C7" s="17" t="n">
        <v>0.0236275014507188</v>
      </c>
      <c r="D7" s="18" t="n">
        <v>18.5454545454546</v>
      </c>
      <c r="E7" s="19" t="n">
        <v>41.6225141863346</v>
      </c>
      <c r="F7" s="20" t="n">
        <v>5</v>
      </c>
      <c r="G7" s="21" t="n">
        <v>8</v>
      </c>
      <c r="H7" s="22" t="n">
        <v>9</v>
      </c>
      <c r="I7" s="23" t="n">
        <v>0.227272727272727</v>
      </c>
      <c r="J7" s="19" t="n">
        <v>5.73917806146189</v>
      </c>
      <c r="K7" s="33" t="s">
        <v>156</v>
      </c>
    </row>
    <row r="8" customFormat="false" ht="19.5" hidden="false" customHeight="true" outlineLevel="0" collapsed="false">
      <c r="A8" s="9" t="s">
        <v>44</v>
      </c>
      <c r="B8" s="25" t="n">
        <v>18</v>
      </c>
      <c r="C8" s="26" t="n">
        <v>0.0233739740059134</v>
      </c>
      <c r="D8" s="27" t="n">
        <v>15.2222222222222</v>
      </c>
      <c r="E8" s="28" t="n">
        <v>62.7097268818753</v>
      </c>
      <c r="F8" s="29" t="n">
        <v>0</v>
      </c>
      <c r="G8" s="30" t="n">
        <v>12</v>
      </c>
      <c r="H8" s="31" t="n">
        <v>6</v>
      </c>
      <c r="I8" s="32" t="n">
        <v>0</v>
      </c>
      <c r="J8" s="28" t="n">
        <v>5.75957297456195</v>
      </c>
      <c r="K8" s="24" t="s">
        <v>155</v>
      </c>
    </row>
    <row r="9" customFormat="false" ht="19.5" hidden="false" customHeight="true" outlineLevel="0" collapsed="false">
      <c r="A9" s="4" t="s">
        <v>31</v>
      </c>
      <c r="B9" s="16" t="n">
        <v>27</v>
      </c>
      <c r="C9" s="17" t="n">
        <v>0.0180362971168825</v>
      </c>
      <c r="D9" s="18" t="n">
        <v>14.7777777777778</v>
      </c>
      <c r="E9" s="19" t="n">
        <v>45.2540271950278</v>
      </c>
      <c r="F9" s="20" t="n">
        <v>13</v>
      </c>
      <c r="G9" s="21" t="n">
        <v>6</v>
      </c>
      <c r="H9" s="22" t="n">
        <v>8</v>
      </c>
      <c r="I9" s="23" t="n">
        <v>0.481481481481482</v>
      </c>
      <c r="J9" s="19" t="n">
        <v>5.51230182855085</v>
      </c>
      <c r="K9" s="34" t="s">
        <v>157</v>
      </c>
    </row>
    <row r="11" customFormat="false" ht="21.75" hidden="false" customHeight="true" outlineLevel="0" collapsed="false">
      <c r="A11" s="35" t="s">
        <v>158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</row>
    <row r="12" customFormat="false" ht="21.75" hidden="false" customHeight="true" outlineLevel="0" collapsed="false">
      <c r="A12" s="36" t="s">
        <v>159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</row>
    <row r="13" customFormat="false" ht="21.75" hidden="false" customHeight="true" outlineLevel="0" collapsed="false">
      <c r="A13" s="36" t="s">
        <v>160</v>
      </c>
      <c r="B13" s="36"/>
      <c r="C13" s="36"/>
      <c r="D13" s="36"/>
      <c r="E13" s="36"/>
      <c r="F13" s="36"/>
      <c r="G13" s="36"/>
      <c r="H13" s="36"/>
      <c r="I13" s="36"/>
      <c r="J13" s="36"/>
      <c r="K13" s="36"/>
    </row>
    <row r="14" customFormat="false" ht="21.75" hidden="false" customHeight="true" outlineLevel="0" collapsed="false">
      <c r="A14" s="36" t="s">
        <v>161</v>
      </c>
      <c r="B14" s="36"/>
      <c r="C14" s="36"/>
      <c r="D14" s="36"/>
      <c r="E14" s="36"/>
      <c r="F14" s="36"/>
      <c r="G14" s="36"/>
      <c r="H14" s="36"/>
      <c r="I14" s="36"/>
      <c r="J14" s="36"/>
      <c r="K14" s="36"/>
    </row>
    <row r="15" customFormat="false" ht="21.75" hidden="false" customHeight="true" outlineLevel="0" collapsed="false">
      <c r="A15" s="36" t="s">
        <v>162</v>
      </c>
      <c r="B15" s="36"/>
      <c r="C15" s="36"/>
      <c r="D15" s="36"/>
      <c r="E15" s="36"/>
      <c r="F15" s="36"/>
      <c r="G15" s="36"/>
      <c r="H15" s="36"/>
      <c r="I15" s="36"/>
      <c r="J15" s="36"/>
      <c r="K15" s="36"/>
    </row>
  </sheetData>
  <mergeCells count="8">
    <mergeCell ref="A1:K1"/>
    <mergeCell ref="A2:K2"/>
    <mergeCell ref="A3:K3"/>
    <mergeCell ref="A11:K11"/>
    <mergeCell ref="A12:K12"/>
    <mergeCell ref="A13:K13"/>
    <mergeCell ref="A14:K14"/>
    <mergeCell ref="A15:K15"/>
  </mergeCells>
  <conditionalFormatting sqref="C5:C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:I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2" width="22"/>
    <col collapsed="false" customWidth="true" hidden="false" outlineLevel="0" max="2" min="2" style="12" width="12"/>
    <col collapsed="false" customWidth="true" hidden="false" outlineLevel="0" max="5" min="3" style="12" width="20"/>
    <col collapsed="false" customWidth="true" hidden="false" outlineLevel="0" max="6" min="6" style="12" width="18"/>
    <col collapsed="false" customWidth="true" hidden="false" outlineLevel="0" max="7" min="7" style="12" width="16"/>
    <col collapsed="false" customWidth="true" hidden="false" outlineLevel="0" max="8" min="8" style="12" width="20"/>
  </cols>
  <sheetData>
    <row r="1" customFormat="false" ht="33.75" hidden="false" customHeight="true" outlineLevel="0" collapsed="false">
      <c r="A1" s="13" t="s">
        <v>163</v>
      </c>
      <c r="B1" s="13"/>
      <c r="C1" s="13"/>
      <c r="D1" s="13"/>
      <c r="E1" s="13"/>
      <c r="F1" s="13"/>
      <c r="G1" s="13"/>
      <c r="H1" s="13"/>
    </row>
    <row r="2" customFormat="false" ht="18" hidden="false" customHeight="true" outlineLevel="0" collapsed="false">
      <c r="A2" s="14" t="s">
        <v>164</v>
      </c>
      <c r="B2" s="14"/>
      <c r="C2" s="14"/>
      <c r="D2" s="14"/>
      <c r="E2" s="14"/>
      <c r="F2" s="14"/>
      <c r="G2" s="14"/>
      <c r="H2" s="14"/>
    </row>
    <row r="3" customFormat="false" ht="21.75" hidden="false" customHeight="true" outlineLevel="0" collapsed="false">
      <c r="A3" s="15" t="s">
        <v>165</v>
      </c>
      <c r="B3" s="15"/>
      <c r="C3" s="15"/>
      <c r="D3" s="15"/>
      <c r="E3" s="15"/>
      <c r="F3" s="15"/>
      <c r="G3" s="15"/>
      <c r="H3" s="15"/>
    </row>
    <row r="4" customFormat="false" ht="31.5" hidden="false" customHeight="true" outlineLevel="0" collapsed="false">
      <c r="A4" s="1" t="s">
        <v>166</v>
      </c>
      <c r="B4" s="1" t="s">
        <v>148</v>
      </c>
      <c r="C4" s="1" t="s">
        <v>167</v>
      </c>
      <c r="D4" s="1" t="s">
        <v>168</v>
      </c>
      <c r="E4" s="1" t="s">
        <v>169</v>
      </c>
      <c r="F4" s="1" t="s">
        <v>170</v>
      </c>
      <c r="G4" s="1" t="s">
        <v>171</v>
      </c>
      <c r="H4" s="1" t="s">
        <v>172</v>
      </c>
    </row>
    <row r="5" customFormat="false" ht="15" hidden="false" customHeight="true" outlineLevel="0" collapsed="false">
      <c r="A5" s="4" t="s">
        <v>173</v>
      </c>
      <c r="B5" s="16" t="n">
        <v>26</v>
      </c>
      <c r="C5" s="19" t="n">
        <v>6212.35638459551</v>
      </c>
      <c r="D5" s="19" t="n">
        <v>563.205084563779</v>
      </c>
      <c r="E5" s="19" t="n">
        <v>5649.15130003173</v>
      </c>
      <c r="F5" s="23" t="n">
        <v>0.872627527493793</v>
      </c>
      <c r="G5" s="37" t="n">
        <v>161521.265999483</v>
      </c>
      <c r="H5" s="37" t="n">
        <v>13366.3972831577</v>
      </c>
    </row>
    <row r="6" customFormat="false" ht="15" hidden="false" customHeight="true" outlineLevel="0" collapsed="false">
      <c r="A6" s="9" t="s">
        <v>174</v>
      </c>
      <c r="B6" s="25" t="n">
        <v>34</v>
      </c>
      <c r="C6" s="28" t="n">
        <v>5131.04090016066</v>
      </c>
      <c r="D6" s="28" t="n">
        <v>564.038187523074</v>
      </c>
      <c r="E6" s="28" t="n">
        <v>4567.00271263758</v>
      </c>
      <c r="F6" s="32" t="n">
        <v>0.852545186594376</v>
      </c>
      <c r="G6" s="38" t="n">
        <v>174455.390605462</v>
      </c>
      <c r="H6" s="38" t="n">
        <v>17328.8628648875</v>
      </c>
    </row>
    <row r="7" customFormat="false" ht="15" hidden="false" customHeight="true" outlineLevel="0" collapsed="false">
      <c r="A7" s="4" t="s">
        <v>175</v>
      </c>
      <c r="B7" s="16" t="n">
        <v>40</v>
      </c>
      <c r="C7" s="19" t="n">
        <v>6040.70405332658</v>
      </c>
      <c r="D7" s="19" t="n">
        <v>609.635796818008</v>
      </c>
      <c r="E7" s="19" t="n">
        <v>5431.06825650857</v>
      </c>
      <c r="F7" s="23" t="n">
        <v>0.859796377528637</v>
      </c>
      <c r="G7" s="37" t="n">
        <v>241628.162133063</v>
      </c>
      <c r="H7" s="37" t="n">
        <v>22229.318067769</v>
      </c>
    </row>
    <row r="8" customFormat="false" ht="21.75" hidden="false" customHeight="true" outlineLevel="0" collapsed="false">
      <c r="A8" s="39" t="s">
        <v>176</v>
      </c>
      <c r="B8" s="40" t="n">
        <f aca="false">SUM(B5:B7)</f>
        <v>100</v>
      </c>
      <c r="C8" s="41" t="n">
        <f aca="false">AVERAGE(C5:C7)</f>
        <v>5794.70044602758</v>
      </c>
      <c r="D8" s="41" t="n">
        <f aca="false">AVERAGE(D5:D7)</f>
        <v>578.959689634954</v>
      </c>
      <c r="E8" s="41" t="n">
        <f aca="false">AVERAGE(E5:E7)</f>
        <v>5215.74075639263</v>
      </c>
      <c r="F8" s="42" t="n">
        <f aca="false">AVERAGE(F5:F7)</f>
        <v>0.861656363872269</v>
      </c>
      <c r="G8" s="43" t="n">
        <f aca="false">SUM(G5:G7)</f>
        <v>577604.818738008</v>
      </c>
      <c r="H8" s="43" t="n">
        <f aca="false">SUM(H5:H7)</f>
        <v>52924.5782158142</v>
      </c>
    </row>
    <row r="10" customFormat="false" ht="21.75" hidden="false" customHeight="true" outlineLevel="0" collapsed="false">
      <c r="A10" s="15" t="s">
        <v>177</v>
      </c>
      <c r="B10" s="15"/>
      <c r="C10" s="15"/>
      <c r="D10" s="15"/>
      <c r="E10" s="15"/>
      <c r="F10" s="15"/>
      <c r="G10" s="15"/>
      <c r="H10" s="15"/>
    </row>
    <row r="11" customFormat="false" ht="31.5" hidden="false" customHeight="true" outlineLevel="0" collapsed="false">
      <c r="A11" s="1" t="s">
        <v>10</v>
      </c>
      <c r="B11" s="1" t="s">
        <v>178</v>
      </c>
      <c r="C11" s="1" t="s">
        <v>153</v>
      </c>
      <c r="D11" s="1" t="s">
        <v>179</v>
      </c>
      <c r="E11" s="1" t="s">
        <v>168</v>
      </c>
      <c r="F11" s="1" t="s">
        <v>171</v>
      </c>
      <c r="G11" s="1" t="s">
        <v>180</v>
      </c>
      <c r="H11" s="1" t="s">
        <v>181</v>
      </c>
    </row>
    <row r="12" customFormat="false" ht="19.5" hidden="false" customHeight="true" outlineLevel="0" collapsed="false">
      <c r="A12" s="4" t="s">
        <v>24</v>
      </c>
      <c r="B12" s="16" t="n">
        <v>29</v>
      </c>
      <c r="C12" s="19" t="n">
        <v>5.5421153900458</v>
      </c>
      <c r="D12" s="19" t="n">
        <v>553.385987558447</v>
      </c>
      <c r="E12" s="19" t="n">
        <v>612.5793854138</v>
      </c>
      <c r="F12" s="37" t="n">
        <v>159315.232239043</v>
      </c>
      <c r="G12" s="37" t="n">
        <v>17764.8021770002</v>
      </c>
      <c r="H12" s="23" t="n">
        <v>0.111507242134545</v>
      </c>
    </row>
    <row r="13" customFormat="false" ht="19.5" hidden="false" customHeight="true" outlineLevel="0" collapsed="false">
      <c r="A13" s="9" t="s">
        <v>32</v>
      </c>
      <c r="B13" s="25" t="n">
        <v>26</v>
      </c>
      <c r="C13" s="28" t="n">
        <v>6.01783937772862</v>
      </c>
      <c r="D13" s="28" t="n">
        <v>561.712596062069</v>
      </c>
      <c r="E13" s="28" t="n">
        <v>610.093580871648</v>
      </c>
      <c r="F13" s="38" t="n">
        <v>155735.349650267</v>
      </c>
      <c r="G13" s="38" t="n">
        <v>15862.4331026628</v>
      </c>
      <c r="H13" s="32" t="n">
        <v>0.101855058201525</v>
      </c>
    </row>
    <row r="14" customFormat="false" ht="19.5" hidden="false" customHeight="true" outlineLevel="0" collapsed="false">
      <c r="A14" s="4" t="s">
        <v>38</v>
      </c>
      <c r="B14" s="16" t="n">
        <v>28</v>
      </c>
      <c r="C14" s="19" t="n">
        <v>5.46909793610286</v>
      </c>
      <c r="D14" s="19" t="n">
        <v>541.747555661846</v>
      </c>
      <c r="E14" s="19" t="n">
        <v>596.754741624312</v>
      </c>
      <c r="F14" s="37" t="n">
        <v>164990.417667333</v>
      </c>
      <c r="G14" s="37" t="n">
        <v>16709.1327654807</v>
      </c>
      <c r="H14" s="23" t="n">
        <v>0.10127335272992</v>
      </c>
    </row>
    <row r="15" customFormat="false" ht="19.5" hidden="false" customHeight="true" outlineLevel="0" collapsed="false">
      <c r="A15" s="9" t="s">
        <v>47</v>
      </c>
      <c r="B15" s="25" t="n">
        <v>17</v>
      </c>
      <c r="C15" s="28" t="n">
        <v>4.9702938152239</v>
      </c>
      <c r="D15" s="28" t="n">
        <v>417.819148263158</v>
      </c>
      <c r="E15" s="28" t="n">
        <v>462.923200118782</v>
      </c>
      <c r="F15" s="38" t="n">
        <v>97563.8191813653</v>
      </c>
      <c r="G15" s="38" t="n">
        <v>7869.69440201929</v>
      </c>
      <c r="H15" s="32" t="n">
        <v>0.0806620165964393</v>
      </c>
    </row>
    <row r="17" customFormat="false" ht="21.75" hidden="false" customHeight="true" outlineLevel="0" collapsed="false">
      <c r="A17" s="35" t="s">
        <v>182</v>
      </c>
      <c r="B17" s="35"/>
      <c r="C17" s="35"/>
      <c r="D17" s="35"/>
      <c r="E17" s="35"/>
      <c r="F17" s="35"/>
      <c r="G17" s="35"/>
      <c r="H17" s="35"/>
    </row>
    <row r="18" customFormat="false" ht="21.75" hidden="false" customHeight="true" outlineLevel="0" collapsed="false">
      <c r="A18" s="44" t="s">
        <v>183</v>
      </c>
      <c r="B18" s="44"/>
      <c r="C18" s="44"/>
      <c r="D18" s="44"/>
      <c r="E18" s="45" t="s">
        <v>184</v>
      </c>
      <c r="F18" s="45"/>
      <c r="G18" s="45"/>
      <c r="H18" s="45"/>
    </row>
    <row r="19" customFormat="false" ht="21.75" hidden="false" customHeight="true" outlineLevel="0" collapsed="false">
      <c r="A19" s="44" t="s">
        <v>185</v>
      </c>
      <c r="B19" s="44"/>
      <c r="C19" s="44"/>
      <c r="D19" s="44"/>
      <c r="E19" s="45" t="s">
        <v>186</v>
      </c>
      <c r="F19" s="45"/>
      <c r="G19" s="45"/>
      <c r="H19" s="45"/>
    </row>
    <row r="20" customFormat="false" ht="21.75" hidden="false" customHeight="true" outlineLevel="0" collapsed="false">
      <c r="A20" s="46" t="s">
        <v>187</v>
      </c>
      <c r="B20" s="46"/>
      <c r="C20" s="46"/>
      <c r="D20" s="46"/>
      <c r="E20" s="47" t="s">
        <v>188</v>
      </c>
      <c r="F20" s="47"/>
      <c r="G20" s="47"/>
      <c r="H20" s="47"/>
    </row>
    <row r="21" customFormat="false" ht="21.75" hidden="false" customHeight="true" outlineLevel="0" collapsed="false">
      <c r="A21" s="46" t="s">
        <v>189</v>
      </c>
      <c r="B21" s="46"/>
      <c r="C21" s="46"/>
      <c r="D21" s="46"/>
      <c r="E21" s="47" t="s">
        <v>190</v>
      </c>
      <c r="F21" s="47"/>
      <c r="G21" s="47"/>
      <c r="H21" s="47"/>
    </row>
    <row r="22" customFormat="false" ht="21.75" hidden="false" customHeight="true" outlineLevel="0" collapsed="false">
      <c r="A22" s="48" t="s">
        <v>191</v>
      </c>
      <c r="B22" s="48"/>
      <c r="C22" s="48"/>
      <c r="D22" s="48"/>
      <c r="E22" s="49" t="s">
        <v>192</v>
      </c>
      <c r="F22" s="49"/>
      <c r="G22" s="49"/>
      <c r="H22" s="49"/>
    </row>
    <row r="23" customFormat="false" ht="21.75" hidden="false" customHeight="true" outlineLevel="0" collapsed="false">
      <c r="A23" s="50" t="s">
        <v>193</v>
      </c>
      <c r="B23" s="50"/>
      <c r="C23" s="50"/>
      <c r="D23" s="50"/>
      <c r="E23" s="51" t="s">
        <v>194</v>
      </c>
      <c r="F23" s="51"/>
      <c r="G23" s="51"/>
      <c r="H23" s="51"/>
    </row>
    <row r="24" customFormat="false" ht="21.75" hidden="false" customHeight="true" outlineLevel="0" collapsed="false">
      <c r="A24" s="50" t="s">
        <v>170</v>
      </c>
      <c r="B24" s="50"/>
      <c r="C24" s="50"/>
      <c r="D24" s="50"/>
      <c r="E24" s="51" t="s">
        <v>195</v>
      </c>
      <c r="F24" s="51"/>
      <c r="G24" s="51"/>
      <c r="H24" s="51"/>
    </row>
    <row r="25" customFormat="false" ht="21.75" hidden="false" customHeight="true" outlineLevel="0" collapsed="false">
      <c r="A25" s="52" t="s">
        <v>196</v>
      </c>
      <c r="B25" s="52"/>
      <c r="C25" s="52"/>
      <c r="D25" s="52"/>
      <c r="E25" s="53" t="s">
        <v>197</v>
      </c>
      <c r="F25" s="53"/>
      <c r="G25" s="53"/>
      <c r="H25" s="53"/>
    </row>
    <row r="26" customFormat="false" ht="21.75" hidden="false" customHeight="true" outlineLevel="0" collapsed="false">
      <c r="A26" s="54" t="s">
        <v>149</v>
      </c>
      <c r="B26" s="54"/>
      <c r="C26" s="54"/>
      <c r="D26" s="54"/>
      <c r="E26" s="55" t="s">
        <v>198</v>
      </c>
      <c r="F26" s="55"/>
      <c r="G26" s="55"/>
      <c r="H26" s="55"/>
    </row>
    <row r="27" customFormat="false" ht="21.75" hidden="false" customHeight="true" outlineLevel="0" collapsed="false">
      <c r="A27" s="54" t="s">
        <v>199</v>
      </c>
      <c r="B27" s="54"/>
      <c r="C27" s="54"/>
      <c r="D27" s="54"/>
      <c r="E27" s="55" t="s">
        <v>200</v>
      </c>
      <c r="F27" s="55"/>
      <c r="G27" s="55"/>
      <c r="H27" s="55"/>
    </row>
  </sheetData>
  <mergeCells count="25">
    <mergeCell ref="A1:H1"/>
    <mergeCell ref="A2:H2"/>
    <mergeCell ref="A3:H3"/>
    <mergeCell ref="A10:H10"/>
    <mergeCell ref="A17:H17"/>
    <mergeCell ref="A18:D18"/>
    <mergeCell ref="E18:H18"/>
    <mergeCell ref="A19:D19"/>
    <mergeCell ref="E19:H19"/>
    <mergeCell ref="A20:D20"/>
    <mergeCell ref="E20:H20"/>
    <mergeCell ref="A21:D21"/>
    <mergeCell ref="E21:H21"/>
    <mergeCell ref="A22:D22"/>
    <mergeCell ref="E22:H22"/>
    <mergeCell ref="A23:D23"/>
    <mergeCell ref="E23:H23"/>
    <mergeCell ref="A24:D24"/>
    <mergeCell ref="E24:H24"/>
    <mergeCell ref="A25:D25"/>
    <mergeCell ref="E25:H25"/>
    <mergeCell ref="A26:D26"/>
    <mergeCell ref="E26:H26"/>
    <mergeCell ref="A27:D27"/>
    <mergeCell ref="E27:H27"/>
  </mergeCells>
  <conditionalFormatting sqref="H12:H15">
    <cfRule type="colorScale" priority="2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2026-02-22T22:08:41Z</dcterms:created>
  <dc:creator>openpyxl</dc:creator>
  <dc:description/>
  <dc:language>en-US</dc:language>
  <cp:lastModifiedBy/>
  <dcterms:modified xsi:type="dcterms:W3CDTF">2026-02-23T02:15:59Z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